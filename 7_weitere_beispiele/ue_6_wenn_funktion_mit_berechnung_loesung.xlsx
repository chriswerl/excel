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_ueberarbeitet/7_weitere_beispiele/"/>
    </mc:Choice>
  </mc:AlternateContent>
  <xr:revisionPtr revIDLastSave="73" documentId="8_{3908D44F-1C07-41E9-B6D4-5328F6917D57}" xr6:coauthVersionLast="47" xr6:coauthVersionMax="47" xr10:uidLastSave="{E9AC99AB-2CEE-43F2-999C-7DA0AE7F7A75}"/>
  <bookViews>
    <workbookView xWindow="-120" yWindow="-120" windowWidth="29040" windowHeight="15720" xr2:uid="{2B0A4720-0E86-43B3-B1FE-4F1F17062FCD}"/>
  </bookViews>
  <sheets>
    <sheet name="umsatz" sheetId="1" r:id="rId1"/>
  </sheets>
  <definedNames>
    <definedName name="_xlnm._FilterDatabase" localSheetId="0" hidden="1">umsatz!$A$1:$B$31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C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C3" i="1"/>
  <c r="C4" i="1"/>
  <c r="C5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2" i="1"/>
</calcChain>
</file>

<file path=xl/sharedStrings.xml><?xml version="1.0" encoding="utf-8"?>
<sst xmlns="http://schemas.openxmlformats.org/spreadsheetml/2006/main" count="42" uniqueCount="41">
  <si>
    <t>Name</t>
  </si>
  <si>
    <t>Anna Leitner</t>
  </si>
  <si>
    <t>Jonas Berger</t>
  </si>
  <si>
    <t>Emilia Schwarz</t>
  </si>
  <si>
    <t>Leon Steiner</t>
  </si>
  <si>
    <t>Marie Auer</t>
  </si>
  <si>
    <t>Lukas Hofer</t>
  </si>
  <si>
    <t>Sophie Winkler</t>
  </si>
  <si>
    <t>Paul Gruber</t>
  </si>
  <si>
    <t>Laura Moser</t>
  </si>
  <si>
    <t>Tobias Fuchs</t>
  </si>
  <si>
    <t>Sarah König</t>
  </si>
  <si>
    <t>Daniel Mayer</t>
  </si>
  <si>
    <t>Julia Brandl</t>
  </si>
  <si>
    <t>Michael Hartl</t>
  </si>
  <si>
    <t>Katharina Ebner</t>
  </si>
  <si>
    <t>Florian Stadler</t>
  </si>
  <si>
    <t>Nina Reiter</t>
  </si>
  <si>
    <t>Markus Huber</t>
  </si>
  <si>
    <t>Verena Schmid</t>
  </si>
  <si>
    <t>Andreas Pichler</t>
  </si>
  <si>
    <t>Claudia Berger</t>
  </si>
  <si>
    <t>Stefan Leitgeb</t>
  </si>
  <si>
    <t>Martina Wallner</t>
  </si>
  <si>
    <t>Thomas Aichinger</t>
  </si>
  <si>
    <t>Eva Wieser</t>
  </si>
  <si>
    <t>Christian Ortner</t>
  </si>
  <si>
    <t>Barbara Koller</t>
  </si>
  <si>
    <t>Gerald Fink</t>
  </si>
  <si>
    <t>Petra Mair</t>
  </si>
  <si>
    <t>Wolfgang Seidl</t>
  </si>
  <si>
    <t>Rabatt</t>
  </si>
  <si>
    <r>
      <t>Aufgabe:</t>
    </r>
    <r>
      <rPr>
        <sz val="11"/>
        <color theme="1"/>
        <rFont val="Aptos Narrow"/>
        <scheme val="minor"/>
      </rPr>
      <t xml:space="preserve"> Bitte berechne, welchen Jahresrabatt die einzelnen Personen lt. nachstehender Rabattstaffelung bekommen.</t>
    </r>
  </si>
  <si>
    <t>Umsatz [EUR]</t>
  </si>
  <si>
    <t>Rabatt [EUR]</t>
  </si>
  <si>
    <t>Ab EUR</t>
  </si>
  <si>
    <r>
      <rPr>
        <b/>
        <sz val="11"/>
        <color theme="1"/>
        <rFont val="Aptos Narrow"/>
        <scheme val="minor"/>
      </rPr>
      <t>Spalte C:</t>
    </r>
    <r>
      <rPr>
        <sz val="11"/>
        <color theme="1"/>
        <rFont val="Aptos Narrow"/>
        <family val="2"/>
        <scheme val="minor"/>
      </rPr>
      <t xml:space="preserve"> mit verschachtelter WENN-Funktion</t>
    </r>
  </si>
  <si>
    <r>
      <rPr>
        <b/>
        <sz val="11"/>
        <color theme="1"/>
        <rFont val="Aptos Narrow"/>
        <scheme val="minor"/>
      </rPr>
      <t>Spalte D:</t>
    </r>
    <r>
      <rPr>
        <sz val="11"/>
        <color theme="1"/>
        <rFont val="Aptos Narrow"/>
        <family val="2"/>
        <scheme val="minor"/>
      </rPr>
      <t xml:space="preserve"> mit SVERWEIS</t>
    </r>
  </si>
  <si>
    <t>Hinweise für die Lösung mit dem SVERWEIS:</t>
  </si>
  <si>
    <t>- die Hilfstabelle mit den Rabatten muss aufsteigend sortiert sein</t>
  </si>
  <si>
    <t>- als 4. Input in den SVERWEIS ist hier im Gegensatz zu den Beispielen aus dem Kurs WAHR (ungefähre Übereinstimmung) zu wählen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</si>
</sst>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0" borderId="0" xfId="0" applyFont="1"/>
    <xf numFmtId="0" fontId="1" fillId="2" borderId="1" xfId="0" quotePrefix="1" applyFont="1" applyFill="1" applyBorder="1"/>
    <xf numFmtId="0" fontId="2" fillId="0" borderId="0" xfId="0" applyFont="1"/>
    <xf numFmtId="44" fontId="0" fillId="0" borderId="1" xfId="1" applyFont="1" applyBorder="1"/>
    <xf numFmtId="44" fontId="0" fillId="0" borderId="1" xfId="1" quotePrefix="1" applyFont="1" applyBorder="1"/>
    <xf numFmtId="10" fontId="0" fillId="0" borderId="1" xfId="2" applyNumberFormat="1" applyFont="1" applyBorder="1"/>
    <xf numFmtId="0" fontId="0" fillId="0" borderId="0" xfId="0" quotePrefix="1"/>
  </cellXfs>
  <cellStyles count="3">
    <cellStyle name="Prozent" xfId="2" builtinId="5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15</xdr:row>
      <xdr:rowOff>19050</xdr:rowOff>
    </xdr:from>
    <xdr:to>
      <xdr:col>9</xdr:col>
      <xdr:colOff>429149</xdr:colOff>
      <xdr:row>20</xdr:row>
      <xdr:rowOff>76334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1ACCCCDD-ABC3-C3D2-FAFE-08AE58EA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2771775"/>
          <a:ext cx="3753374" cy="962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57048-302B-41FE-9FD4-078F175EB834}">
  <dimension ref="A1:I31"/>
  <sheetViews>
    <sheetView tabSelected="1" workbookViewId="0"/>
  </sheetViews>
  <sheetFormatPr baseColWidth="10" defaultRowHeight="14.25"/>
  <cols>
    <col min="1" max="1" width="15.625" bestFit="1" customWidth="1"/>
    <col min="2" max="2" width="13.125" customWidth="1"/>
    <col min="3" max="3" width="12.375" bestFit="1" customWidth="1"/>
    <col min="4" max="4" width="12.375" customWidth="1"/>
  </cols>
  <sheetData>
    <row r="1" spans="1:9" ht="15">
      <c r="A1" s="2" t="s">
        <v>0</v>
      </c>
      <c r="B1" s="2" t="s">
        <v>33</v>
      </c>
      <c r="C1" s="2" t="s">
        <v>34</v>
      </c>
      <c r="D1" s="2" t="s">
        <v>34</v>
      </c>
    </row>
    <row r="2" spans="1:9">
      <c r="A2" s="1" t="s">
        <v>20</v>
      </c>
      <c r="B2" s="6">
        <v>4657</v>
      </c>
      <c r="C2" s="6">
        <f>IF(B2&lt;$F$7, B2*$G$6, IF(B2&lt;F8, B2*$G$7, IF(B2&lt;$F$9, B2*$G$8, B2*$G$9)))</f>
        <v>93.14</v>
      </c>
      <c r="D2" s="6">
        <f>VLOOKUP(B2,$F$5:$G$9, 2, TRUE) * B2</f>
        <v>93.14</v>
      </c>
    </row>
    <row r="3" spans="1:9" ht="15">
      <c r="A3" s="1" t="s">
        <v>1</v>
      </c>
      <c r="B3" s="6">
        <v>7719</v>
      </c>
      <c r="C3" s="6">
        <f t="shared" ref="C3:C31" si="0">IF(B3&lt;$F$7, B3*$G$6, IF(B3&lt;F9, B3*$G$7, IF(B3&lt;$F$9, B3*$G$8, B3*$G$9)))</f>
        <v>231.57</v>
      </c>
      <c r="D3" s="6">
        <f t="shared" ref="D3:D31" si="1">VLOOKUP(B3,$F$5:$G$9, 2, TRUE) * B3</f>
        <v>231.57</v>
      </c>
      <c r="F3" s="3" t="s">
        <v>32</v>
      </c>
    </row>
    <row r="4" spans="1:9">
      <c r="A4" s="1" t="s">
        <v>27</v>
      </c>
      <c r="B4" s="6">
        <v>6266</v>
      </c>
      <c r="C4" s="6">
        <f t="shared" si="0"/>
        <v>187.98</v>
      </c>
      <c r="D4" s="6">
        <f t="shared" si="1"/>
        <v>187.98</v>
      </c>
    </row>
    <row r="5" spans="1:9" ht="15">
      <c r="A5" s="1" t="s">
        <v>26</v>
      </c>
      <c r="B5" s="6">
        <v>9941</v>
      </c>
      <c r="C5" s="6">
        <f t="shared" si="0"/>
        <v>298.22999999999996</v>
      </c>
      <c r="D5" s="6">
        <f t="shared" si="1"/>
        <v>298.22999999999996</v>
      </c>
      <c r="F5" s="4" t="s">
        <v>35</v>
      </c>
      <c r="G5" s="2" t="s">
        <v>31</v>
      </c>
      <c r="I5" s="5" t="s">
        <v>36</v>
      </c>
    </row>
    <row r="6" spans="1:9" ht="15">
      <c r="A6" s="1" t="s">
        <v>21</v>
      </c>
      <c r="B6" s="6">
        <v>1916</v>
      </c>
      <c r="C6" s="6">
        <f t="shared" si="0"/>
        <v>19.16</v>
      </c>
      <c r="D6" s="6">
        <f t="shared" si="1"/>
        <v>19.16</v>
      </c>
      <c r="F6" s="6">
        <v>0</v>
      </c>
      <c r="G6" s="8">
        <v>0</v>
      </c>
      <c r="I6" s="5" t="s">
        <v>37</v>
      </c>
    </row>
    <row r="7" spans="1:9">
      <c r="A7" s="1" t="s">
        <v>12</v>
      </c>
      <c r="B7" s="6">
        <v>2778</v>
      </c>
      <c r="C7" s="6">
        <f t="shared" si="0"/>
        <v>27.78</v>
      </c>
      <c r="D7" s="6">
        <f t="shared" si="1"/>
        <v>27.78</v>
      </c>
      <c r="F7" s="7">
        <v>1000</v>
      </c>
      <c r="G7" s="8">
        <v>0.01</v>
      </c>
    </row>
    <row r="8" spans="1:9">
      <c r="A8" s="1" t="s">
        <v>3</v>
      </c>
      <c r="B8" s="6">
        <v>3061</v>
      </c>
      <c r="C8" s="6">
        <f t="shared" si="0"/>
        <v>30.61</v>
      </c>
      <c r="D8" s="6">
        <f t="shared" si="1"/>
        <v>61.22</v>
      </c>
      <c r="F8" s="7">
        <v>3000</v>
      </c>
      <c r="G8" s="8">
        <v>0.02</v>
      </c>
    </row>
    <row r="9" spans="1:9">
      <c r="A9" s="1" t="s">
        <v>25</v>
      </c>
      <c r="B9" s="6">
        <v>8102</v>
      </c>
      <c r="C9" s="6">
        <f t="shared" si="0"/>
        <v>243.06</v>
      </c>
      <c r="D9" s="6">
        <f t="shared" si="1"/>
        <v>243.06</v>
      </c>
      <c r="F9" s="6">
        <v>5000</v>
      </c>
      <c r="G9" s="8">
        <v>0.03</v>
      </c>
    </row>
    <row r="10" spans="1:9">
      <c r="A10" s="1" t="s">
        <v>16</v>
      </c>
      <c r="B10" s="6">
        <v>8956</v>
      </c>
      <c r="C10" s="6">
        <f t="shared" si="0"/>
        <v>268.68</v>
      </c>
      <c r="D10" s="6">
        <f t="shared" si="1"/>
        <v>268.68</v>
      </c>
    </row>
    <row r="11" spans="1:9">
      <c r="A11" s="1" t="s">
        <v>28</v>
      </c>
      <c r="B11" s="6">
        <v>7723</v>
      </c>
      <c r="C11" s="6">
        <f t="shared" si="0"/>
        <v>231.69</v>
      </c>
      <c r="D11" s="6">
        <f t="shared" si="1"/>
        <v>231.69</v>
      </c>
    </row>
    <row r="12" spans="1:9" ht="15">
      <c r="A12" s="1" t="s">
        <v>2</v>
      </c>
      <c r="B12" s="6">
        <v>1398</v>
      </c>
      <c r="C12" s="6">
        <f t="shared" si="0"/>
        <v>27.96</v>
      </c>
      <c r="D12" s="6">
        <f t="shared" si="1"/>
        <v>13.98</v>
      </c>
      <c r="F12" s="3" t="s">
        <v>38</v>
      </c>
    </row>
    <row r="13" spans="1:9">
      <c r="A13" s="1" t="s">
        <v>13</v>
      </c>
      <c r="B13" s="6">
        <v>7237</v>
      </c>
      <c r="C13" s="6">
        <f t="shared" si="0"/>
        <v>217.10999999999999</v>
      </c>
      <c r="D13" s="6">
        <f t="shared" si="1"/>
        <v>217.10999999999999</v>
      </c>
      <c r="F13" s="9" t="s">
        <v>39</v>
      </c>
    </row>
    <row r="14" spans="1:9">
      <c r="A14" s="1" t="s">
        <v>15</v>
      </c>
      <c r="B14" s="6">
        <v>3556</v>
      </c>
      <c r="C14" s="6">
        <f t="shared" si="0"/>
        <v>71.12</v>
      </c>
      <c r="D14" s="6">
        <f t="shared" si="1"/>
        <v>71.12</v>
      </c>
      <c r="F14" s="9" t="s">
        <v>40</v>
      </c>
    </row>
    <row r="15" spans="1:9">
      <c r="A15" s="1" t="s">
        <v>9</v>
      </c>
      <c r="B15" s="6">
        <v>628</v>
      </c>
      <c r="C15" s="6">
        <f t="shared" si="0"/>
        <v>0</v>
      </c>
      <c r="D15" s="6">
        <f t="shared" si="1"/>
        <v>0</v>
      </c>
    </row>
    <row r="16" spans="1:9">
      <c r="A16" s="1" t="s">
        <v>4</v>
      </c>
      <c r="B16" s="6">
        <v>8544</v>
      </c>
      <c r="C16" s="6">
        <f t="shared" si="0"/>
        <v>256.32</v>
      </c>
      <c r="D16" s="6">
        <f t="shared" si="1"/>
        <v>256.32</v>
      </c>
    </row>
    <row r="17" spans="1:4">
      <c r="A17" s="1" t="s">
        <v>6</v>
      </c>
      <c r="B17" s="6">
        <v>9527</v>
      </c>
      <c r="C17" s="6">
        <f t="shared" si="0"/>
        <v>285.81</v>
      </c>
      <c r="D17" s="6">
        <f t="shared" si="1"/>
        <v>285.81</v>
      </c>
    </row>
    <row r="18" spans="1:4">
      <c r="A18" s="1" t="s">
        <v>5</v>
      </c>
      <c r="B18" s="6">
        <v>7461</v>
      </c>
      <c r="C18" s="6">
        <f t="shared" si="0"/>
        <v>223.82999999999998</v>
      </c>
      <c r="D18" s="6">
        <f t="shared" si="1"/>
        <v>223.82999999999998</v>
      </c>
    </row>
    <row r="19" spans="1:4">
      <c r="A19" s="1" t="s">
        <v>18</v>
      </c>
      <c r="B19" s="6">
        <v>9186</v>
      </c>
      <c r="C19" s="6">
        <f t="shared" si="0"/>
        <v>275.58</v>
      </c>
      <c r="D19" s="6">
        <f t="shared" si="1"/>
        <v>275.58</v>
      </c>
    </row>
    <row r="20" spans="1:4">
      <c r="A20" s="1" t="s">
        <v>23</v>
      </c>
      <c r="B20" s="6">
        <v>8130</v>
      </c>
      <c r="C20" s="6">
        <f t="shared" si="0"/>
        <v>243.89999999999998</v>
      </c>
      <c r="D20" s="6">
        <f t="shared" si="1"/>
        <v>243.89999999999998</v>
      </c>
    </row>
    <row r="21" spans="1:4">
      <c r="A21" s="1" t="s">
        <v>14</v>
      </c>
      <c r="B21" s="6">
        <v>5225</v>
      </c>
      <c r="C21" s="6">
        <f t="shared" si="0"/>
        <v>156.75</v>
      </c>
      <c r="D21" s="6">
        <f t="shared" si="1"/>
        <v>156.75</v>
      </c>
    </row>
    <row r="22" spans="1:4">
      <c r="A22" s="1" t="s">
        <v>17</v>
      </c>
      <c r="B22" s="6">
        <v>3477</v>
      </c>
      <c r="C22" s="6">
        <f t="shared" si="0"/>
        <v>69.540000000000006</v>
      </c>
      <c r="D22" s="6">
        <f t="shared" si="1"/>
        <v>69.540000000000006</v>
      </c>
    </row>
    <row r="23" spans="1:4">
      <c r="A23" s="1" t="s">
        <v>8</v>
      </c>
      <c r="B23" s="6">
        <v>9510</v>
      </c>
      <c r="C23" s="6">
        <f t="shared" si="0"/>
        <v>285.3</v>
      </c>
      <c r="D23" s="6">
        <f t="shared" si="1"/>
        <v>285.3</v>
      </c>
    </row>
    <row r="24" spans="1:4">
      <c r="A24" s="1" t="s">
        <v>29</v>
      </c>
      <c r="B24" s="6">
        <v>4164</v>
      </c>
      <c r="C24" s="6">
        <f t="shared" si="0"/>
        <v>83.28</v>
      </c>
      <c r="D24" s="6">
        <f t="shared" si="1"/>
        <v>83.28</v>
      </c>
    </row>
    <row r="25" spans="1:4">
      <c r="A25" s="1" t="s">
        <v>11</v>
      </c>
      <c r="B25" s="6">
        <v>5770</v>
      </c>
      <c r="C25" s="6">
        <f t="shared" si="0"/>
        <v>173.1</v>
      </c>
      <c r="D25" s="6">
        <f t="shared" si="1"/>
        <v>173.1</v>
      </c>
    </row>
    <row r="26" spans="1:4">
      <c r="A26" s="1" t="s">
        <v>7</v>
      </c>
      <c r="B26" s="6">
        <v>4059</v>
      </c>
      <c r="C26" s="6">
        <f t="shared" si="0"/>
        <v>81.180000000000007</v>
      </c>
      <c r="D26" s="6">
        <f t="shared" si="1"/>
        <v>81.180000000000007</v>
      </c>
    </row>
    <row r="27" spans="1:4">
      <c r="A27" s="1" t="s">
        <v>22</v>
      </c>
      <c r="B27" s="6">
        <v>5080</v>
      </c>
      <c r="C27" s="6">
        <f t="shared" si="0"/>
        <v>152.4</v>
      </c>
      <c r="D27" s="6">
        <f t="shared" si="1"/>
        <v>152.4</v>
      </c>
    </row>
    <row r="28" spans="1:4">
      <c r="A28" s="1" t="s">
        <v>24</v>
      </c>
      <c r="B28" s="6">
        <v>6399</v>
      </c>
      <c r="C28" s="6">
        <f t="shared" si="0"/>
        <v>191.97</v>
      </c>
      <c r="D28" s="6">
        <f t="shared" si="1"/>
        <v>191.97</v>
      </c>
    </row>
    <row r="29" spans="1:4">
      <c r="A29" s="1" t="s">
        <v>10</v>
      </c>
      <c r="B29" s="6">
        <v>6360</v>
      </c>
      <c r="C29" s="6">
        <f t="shared" si="0"/>
        <v>190.79999999999998</v>
      </c>
      <c r="D29" s="6">
        <f t="shared" si="1"/>
        <v>190.79999999999998</v>
      </c>
    </row>
    <row r="30" spans="1:4">
      <c r="A30" s="1" t="s">
        <v>19</v>
      </c>
      <c r="B30" s="6">
        <v>6009</v>
      </c>
      <c r="C30" s="6">
        <f t="shared" si="0"/>
        <v>180.26999999999998</v>
      </c>
      <c r="D30" s="6">
        <f t="shared" si="1"/>
        <v>180.26999999999998</v>
      </c>
    </row>
    <row r="31" spans="1:4">
      <c r="A31" s="1" t="s">
        <v>30</v>
      </c>
      <c r="B31" s="6">
        <v>8497</v>
      </c>
      <c r="C31" s="6">
        <f t="shared" si="0"/>
        <v>254.91</v>
      </c>
      <c r="D31" s="6">
        <f t="shared" si="1"/>
        <v>254.91</v>
      </c>
    </row>
  </sheetData>
  <sortState xmlns:xlrd2="http://schemas.microsoft.com/office/spreadsheetml/2017/richdata2" ref="A2:B31">
    <sortCondition ref="A2:A31"/>
  </sortState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umsatz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2026-03-01T19:53:53Z</dcterms:created>
  <dcterms:modified xsi:type="dcterms:W3CDTF">2026-03-07T19:36:24Z</dcterms:modified>
</cp:coreProperties>
</file>