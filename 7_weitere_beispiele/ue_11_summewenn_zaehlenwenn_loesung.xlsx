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42" documentId="8_{0C8CE911-3D26-479B-9254-C93CFE28A221}" xr6:coauthVersionLast="47" xr6:coauthVersionMax="47" xr10:uidLastSave="{FD6D919A-F8C1-4636-9B0F-3AFCE6258B28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</calcChain>
</file>

<file path=xl/sharedStrings.xml><?xml version="1.0" encoding="utf-8"?>
<sst xmlns="http://schemas.openxmlformats.org/spreadsheetml/2006/main" count="46" uniqueCount="32">
  <si>
    <t>Abteilung</t>
  </si>
  <si>
    <t>Name</t>
  </si>
  <si>
    <t>Monatsgehalt (€)</t>
  </si>
  <si>
    <t>Gehaltsstufe</t>
  </si>
  <si>
    <t>Firmenzugehörigkeit (Jahre)</t>
  </si>
  <si>
    <t>Vertrieb</t>
  </si>
  <si>
    <t>Anna Leitner</t>
  </si>
  <si>
    <t>B</t>
  </si>
  <si>
    <t>Markus Steiner</t>
  </si>
  <si>
    <t>C</t>
  </si>
  <si>
    <t>Marketing</t>
  </si>
  <si>
    <t>Julia Auer</t>
  </si>
  <si>
    <t>Tobias Gruber</t>
  </si>
  <si>
    <t>IT</t>
  </si>
  <si>
    <t>Stefan Moser</t>
  </si>
  <si>
    <t>D</t>
  </si>
  <si>
    <t>Laura König</t>
  </si>
  <si>
    <t>Personalwesen</t>
  </si>
  <si>
    <t>Miriam Schmid</t>
  </si>
  <si>
    <t>Daniel Fuchs</t>
  </si>
  <si>
    <t>Produktion</t>
  </si>
  <si>
    <t>Peter Huber</t>
  </si>
  <si>
    <t>A</t>
  </si>
  <si>
    <t>Sabine Wallner</t>
  </si>
  <si>
    <t>Finanzen</t>
  </si>
  <si>
    <t>Claudia Berger</t>
  </si>
  <si>
    <t>Thomas Winkler</t>
  </si>
  <si>
    <t>Anzahl MA Finanzen</t>
  </si>
  <si>
    <t>Gehaltssumme IT</t>
  </si>
  <si>
    <t>Gehaltssumme Personalwesen und Gehaltsstufe C</t>
  </si>
  <si>
    <t>Durchschnittliches Gehalt von Gehaltsstufe D</t>
  </si>
  <si>
    <t>Aufgaben: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</si>
</sst>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2" borderId="1" xfId="0" applyFill="1" applyBorder="1"/>
    <xf numFmtId="44" fontId="0" fillId="0" borderId="1" xfId="1" applyFont="1" applyBorder="1"/>
    <xf numFmtId="44" fontId="0" fillId="2" borderId="1" xfId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E20"/>
  <sheetViews>
    <sheetView tabSelected="1" workbookViewId="0"/>
  </sheetViews>
  <sheetFormatPr baseColWidth="10" defaultRowHeight="14.25"/>
  <cols>
    <col min="1" max="1" width="17.5" bestFit="1" customWidth="1"/>
    <col min="2" max="2" width="14.25" bestFit="1" customWidth="1"/>
    <col min="3" max="3" width="15.625" bestFit="1" customWidth="1"/>
    <col min="4" max="4" width="12.25" bestFit="1" customWidth="1"/>
    <col min="5" max="5" width="26.375" bestFit="1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5">
        <v>3850</v>
      </c>
      <c r="D2" s="1" t="s">
        <v>7</v>
      </c>
      <c r="E2" s="1">
        <v>4</v>
      </c>
    </row>
    <row r="3" spans="1:5">
      <c r="A3" s="1" t="s">
        <v>5</v>
      </c>
      <c r="B3" s="1" t="s">
        <v>8</v>
      </c>
      <c r="C3" s="5">
        <v>4200</v>
      </c>
      <c r="D3" s="1" t="s">
        <v>9</v>
      </c>
      <c r="E3" s="1">
        <v>7</v>
      </c>
    </row>
    <row r="4" spans="1:5">
      <c r="A4" s="1" t="s">
        <v>10</v>
      </c>
      <c r="B4" s="1" t="s">
        <v>11</v>
      </c>
      <c r="C4" s="5">
        <v>3300</v>
      </c>
      <c r="D4" s="1" t="s">
        <v>7</v>
      </c>
      <c r="E4" s="1">
        <v>2</v>
      </c>
    </row>
    <row r="5" spans="1:5">
      <c r="A5" s="1" t="s">
        <v>10</v>
      </c>
      <c r="B5" s="1" t="s">
        <v>12</v>
      </c>
      <c r="C5" s="5">
        <v>3950</v>
      </c>
      <c r="D5" s="1" t="s">
        <v>9</v>
      </c>
      <c r="E5" s="1">
        <v>5</v>
      </c>
    </row>
    <row r="6" spans="1:5">
      <c r="A6" s="1" t="s">
        <v>13</v>
      </c>
      <c r="B6" s="1" t="s">
        <v>14</v>
      </c>
      <c r="C6" s="5">
        <v>5200</v>
      </c>
      <c r="D6" s="1" t="s">
        <v>15</v>
      </c>
      <c r="E6" s="1">
        <v>8</v>
      </c>
    </row>
    <row r="7" spans="1:5">
      <c r="A7" s="1" t="s">
        <v>13</v>
      </c>
      <c r="B7" s="1" t="s">
        <v>16</v>
      </c>
      <c r="C7" s="5">
        <v>4750</v>
      </c>
      <c r="D7" s="1" t="s">
        <v>9</v>
      </c>
      <c r="E7" s="1">
        <v>6</v>
      </c>
    </row>
    <row r="8" spans="1:5">
      <c r="A8" s="1" t="s">
        <v>17</v>
      </c>
      <c r="B8" s="1" t="s">
        <v>18</v>
      </c>
      <c r="C8" s="5">
        <v>3600</v>
      </c>
      <c r="D8" s="1" t="s">
        <v>7</v>
      </c>
      <c r="E8" s="1">
        <v>3</v>
      </c>
    </row>
    <row r="9" spans="1:5">
      <c r="A9" s="1" t="s">
        <v>17</v>
      </c>
      <c r="B9" s="1" t="s">
        <v>19</v>
      </c>
      <c r="C9" s="5">
        <v>4100</v>
      </c>
      <c r="D9" s="1" t="s">
        <v>9</v>
      </c>
      <c r="E9" s="1">
        <v>5</v>
      </c>
    </row>
    <row r="10" spans="1:5">
      <c r="A10" s="1" t="s">
        <v>20</v>
      </c>
      <c r="B10" s="1" t="s">
        <v>21</v>
      </c>
      <c r="C10" s="5">
        <v>2900</v>
      </c>
      <c r="D10" s="1" t="s">
        <v>22</v>
      </c>
      <c r="E10" s="1">
        <v>1</v>
      </c>
    </row>
    <row r="11" spans="1:5">
      <c r="A11" s="1" t="s">
        <v>20</v>
      </c>
      <c r="B11" s="1" t="s">
        <v>23</v>
      </c>
      <c r="C11" s="5">
        <v>3150</v>
      </c>
      <c r="D11" s="1" t="s">
        <v>7</v>
      </c>
      <c r="E11" s="1">
        <v>4</v>
      </c>
    </row>
    <row r="12" spans="1:5">
      <c r="A12" s="1" t="s">
        <v>24</v>
      </c>
      <c r="B12" s="1" t="s">
        <v>25</v>
      </c>
      <c r="C12" s="5">
        <v>5400</v>
      </c>
      <c r="D12" s="1" t="s">
        <v>15</v>
      </c>
      <c r="E12" s="1">
        <v>9</v>
      </c>
    </row>
    <row r="13" spans="1:5">
      <c r="A13" s="1" t="s">
        <v>24</v>
      </c>
      <c r="B13" s="1" t="s">
        <v>26</v>
      </c>
      <c r="C13" s="5">
        <v>4900</v>
      </c>
      <c r="D13" s="1" t="s">
        <v>9</v>
      </c>
      <c r="E13" s="1">
        <v>6</v>
      </c>
    </row>
    <row r="16" spans="1:5" ht="15">
      <c r="A16" s="3" t="s">
        <v>31</v>
      </c>
    </row>
    <row r="17" spans="1:4">
      <c r="A17" t="s">
        <v>27</v>
      </c>
      <c r="D17" s="4">
        <f>COUNTIF(A2:A13, "Finanzen")</f>
        <v>2</v>
      </c>
    </row>
    <row r="18" spans="1:4">
      <c r="A18" t="s">
        <v>28</v>
      </c>
      <c r="D18" s="6">
        <f>SUMIF(A2:A13, "IT", C2:C13)</f>
        <v>9950</v>
      </c>
    </row>
    <row r="19" spans="1:4">
      <c r="A19" t="s">
        <v>29</v>
      </c>
      <c r="D19" s="6">
        <f>SUMIFS(C2:C13, A2:A13, "Personalwesen", D2:D13, "C")</f>
        <v>4100</v>
      </c>
    </row>
    <row r="20" spans="1:4">
      <c r="A20" t="s">
        <v>30</v>
      </c>
      <c r="D20" s="6">
        <f>AVERAGEIF(D2:D13, "D", C2:C13)</f>
        <v>5300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2026-03-07T19:55:46Z</dcterms:modified>
</cp:coreProperties>
</file>