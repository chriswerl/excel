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08e36333fa8bc9f/excel_20260302_ueberarbeitet/4_pivot/"/>
    </mc:Choice>
  </mc:AlternateContent>
  <xr:revisionPtr revIDLastSave="266" documentId="8_{779AA192-4A43-4F43-9915-F50593562C52}" xr6:coauthVersionLast="47" xr6:coauthVersionMax="47" xr10:uidLastSave="{30C144CC-02DD-4CD9-AF7E-4AC1AC9CCCCE}"/>
  <bookViews>
    <workbookView xWindow="-120" yWindow="-120" windowWidth="29040" windowHeight="15720" xr2:uid="{600B6445-F8F5-4FC8-BA0A-467CF15BF364}"/>
  </bookViews>
  <sheets>
    <sheet name="aufgaben" sheetId="4" r:id="rId1"/>
    <sheet name="verkaeufe" sheetId="2" r:id="rId2"/>
    <sheet name="a1" sheetId="5" r:id="rId3"/>
    <sheet name="a2" sheetId="6" r:id="rId4"/>
    <sheet name="a3" sheetId="7" r:id="rId5"/>
    <sheet name="a4" sheetId="8" r:id="rId6"/>
    <sheet name="a5" sheetId="9" r:id="rId7"/>
    <sheet name="a6" sheetId="10" r:id="rId8"/>
    <sheet name="a7" sheetId="11" r:id="rId9"/>
    <sheet name="a8" sheetId="12" r:id="rId10"/>
  </sheets>
  <calcPr calcId="191029"/>
  <pivotCaches>
    <pivotCache cacheId="4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<sst xmlns="http://schemas.openxmlformats.org/spreadsheetml/2006/main" count="191" uniqueCount="85">
  <si>
    <t>Datum</t>
  </si>
  <si>
    <t>Produkt</t>
  </si>
  <si>
    <t>Kategorie</t>
  </si>
  <si>
    <t>Stück</t>
  </si>
  <si>
    <t>Einzelpreis</t>
  </si>
  <si>
    <t>Umsatz</t>
  </si>
  <si>
    <t>Kommentar</t>
  </si>
  <si>
    <t>Anna</t>
  </si>
  <si>
    <t>Laptop Pro 15</t>
  </si>
  <si>
    <t>Computer</t>
  </si>
  <si>
    <t>Top Kunde</t>
  </si>
  <si>
    <t>Ben</t>
  </si>
  <si>
    <t>Office Chair X</t>
  </si>
  <si>
    <t>Möbel</t>
  </si>
  <si>
    <t>Express Lieferung</t>
  </si>
  <si>
    <t>Clara</t>
  </si>
  <si>
    <t>Monitor 27 UHD</t>
  </si>
  <si>
    <t>Defekt gemeldet</t>
  </si>
  <si>
    <t>Laptop Air 13</t>
  </si>
  <si>
    <t>VIP</t>
  </si>
  <si>
    <t>David</t>
  </si>
  <si>
    <t>Schreibtisch L</t>
  </si>
  <si>
    <t>Rückfrage</t>
  </si>
  <si>
    <t>Maus Wireless</t>
  </si>
  <si>
    <t>Zubehör</t>
  </si>
  <si>
    <t>Schnell erledigt</t>
  </si>
  <si>
    <t>Tastatur MX</t>
  </si>
  <si>
    <t>Kunde zufrieden</t>
  </si>
  <si>
    <t>Docking Station Z</t>
  </si>
  <si>
    <t>Wiederholungskauf</t>
  </si>
  <si>
    <t>Großauftrag</t>
  </si>
  <si>
    <t>Monitor 24 FHD</t>
  </si>
  <si>
    <t>Rabatt gewährt</t>
  </si>
  <si>
    <t>Express</t>
  </si>
  <si>
    <t>Lagerabverkauf</t>
  </si>
  <si>
    <t>Kunde unentschlossen</t>
  </si>
  <si>
    <t>Großbestellung</t>
  </si>
  <si>
    <t>Standard</t>
  </si>
  <si>
    <t xml:space="preserve">Express </t>
  </si>
  <si>
    <t>Rechnung</t>
  </si>
  <si>
    <t>RE-2026-0001</t>
  </si>
  <si>
    <t>RE-2026-0002</t>
  </si>
  <si>
    <t>RE-2026-0003</t>
  </si>
  <si>
    <t>RE-2026-0004</t>
  </si>
  <si>
    <t>RE-2026-0005</t>
  </si>
  <si>
    <t>RE-2026-0006</t>
  </si>
  <si>
    <t>RE-2026-0007</t>
  </si>
  <si>
    <t>RE-2026-0008</t>
  </si>
  <si>
    <t>RE-2026-0009</t>
  </si>
  <si>
    <t>RE-2026-0010</t>
  </si>
  <si>
    <t>RE-2026-0011</t>
  </si>
  <si>
    <t>RE-2026-0012</t>
  </si>
  <si>
    <t>RE-2026-0013</t>
  </si>
  <si>
    <t>RE-2026-0014</t>
  </si>
  <si>
    <t>RE-2026-0015</t>
  </si>
  <si>
    <t>RE-2026-0016</t>
  </si>
  <si>
    <t>RE-2026-0017</t>
  </si>
  <si>
    <t>RE-2026-0018</t>
  </si>
  <si>
    <t>RE-2026-0019</t>
  </si>
  <si>
    <t>RE-2026-0020</t>
  </si>
  <si>
    <t>RE-2026-0021</t>
  </si>
  <si>
    <t>RE-2026-0022</t>
  </si>
  <si>
    <t>RE-2026-0023</t>
  </si>
  <si>
    <t>RE-2026-0024</t>
  </si>
  <si>
    <t>RE-2026-0025</t>
  </si>
  <si>
    <t>RE-2026-0026</t>
  </si>
  <si>
    <t>VerkäuferIn</t>
  </si>
  <si>
    <t>PIVOT-TABELLEN</t>
  </si>
  <si>
    <t>1. Gesamtumsatz aller Verkäufe</t>
  </si>
  <si>
    <t>4. Wie viele Verkäufe wurden erfasst?</t>
  </si>
  <si>
    <t>5. Wie oft hat Anna verkauft?</t>
  </si>
  <si>
    <t>6. Wie viele Computer‑Produkte wurden verkauft?</t>
  </si>
  <si>
    <t>8. Umsatz der Kategorie "Computer" von "Clara"</t>
  </si>
  <si>
    <t>7. Gesamtumsatz von Ben</t>
  </si>
  <si>
    <t>3. Günstigster und teuerster Einzelpreis</t>
  </si>
  <si>
    <t>2. Durchschnittlicher Umsatz</t>
  </si>
  <si>
    <t>Summe von Umsatz</t>
  </si>
  <si>
    <t>Mittelwert von Umsatz</t>
  </si>
  <si>
    <t>Min. von Einzelpreis</t>
  </si>
  <si>
    <t>Max. von Einzelpreis2</t>
  </si>
  <si>
    <t>Anzahl von Datum</t>
  </si>
  <si>
    <t>Zeilenbeschriftungen</t>
  </si>
  <si>
    <t>Gesamtergebnis</t>
  </si>
  <si>
    <t>Anzahl von Rechnung</t>
  </si>
  <si>
    <t>Summe von Stück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</si>
</sst>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€&quot;\ #,##0.00;\-&quot;€&quot;\ #,##0.00"/>
    <numFmt numFmtId="164" formatCode="&quot;€&quot;\ #,##0.00"/>
  </numFmts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0" fillId="0" borderId="0" xfId="0" applyNumberFormat="1"/>
    <xf numFmtId="164" fontId="0" fillId="0" borderId="0" xfId="0" applyNumberFormat="1"/>
    <xf numFmtId="7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ristian" refreshedDate="46088.986511805553" createdVersion="8" refreshedVersion="8" minRefreshableVersion="3" recordCount="26" xr:uid="{F7C5573D-C452-4605-8D8E-8EBFAF76B35B}">
  <cacheSource type="worksheet">
    <worksheetSource ref="A1:I27" sheet="verkaeufe"/>
  </cacheSource>
  <cacheFields count="9">
    <cacheField name="Datum" numFmtId="14">
      <sharedItems containsSemiMixedTypes="0" containsNonDate="0" containsDate="1" containsString="0" minDate="2026-01-03T00:00:00" maxDate="2026-01-17T00:00:00"/>
    </cacheField>
    <cacheField name="VerkäuferIn" numFmtId="0">
      <sharedItems count="4">
        <s v="Anna"/>
        <s v="Ben"/>
        <s v="Clara"/>
        <s v="David"/>
      </sharedItems>
    </cacheField>
    <cacheField name="Produkt" numFmtId="0">
      <sharedItems/>
    </cacheField>
    <cacheField name="Kategorie" numFmtId="0">
      <sharedItems count="3">
        <s v="Computer"/>
        <s v="Möbel"/>
        <s v="Zubehör"/>
      </sharedItems>
    </cacheField>
    <cacheField name="Stück" numFmtId="0">
      <sharedItems containsSemiMixedTypes="0" containsString="0" containsNumber="1" containsInteger="1" minValue="1" maxValue="20"/>
    </cacheField>
    <cacheField name="Einzelpreis" numFmtId="0">
      <sharedItems containsSemiMixedTypes="0" containsString="0" containsNumber="1" containsInteger="1" minValue="25" maxValue="1200"/>
    </cacheField>
    <cacheField name="Umsatz" numFmtId="0">
      <sharedItems containsSemiMixedTypes="0" containsString="0" containsNumber="1" containsInteger="1" minValue="250" maxValue="2400"/>
    </cacheField>
    <cacheField name="Rechnung" numFmtId="0">
      <sharedItems/>
    </cacheField>
    <cacheField name="Kommenta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">
  <r>
    <d v="2026-01-03T00:00:00"/>
    <x v="0"/>
    <s v="Laptop Pro 15"/>
    <x v="0"/>
    <n v="2"/>
    <n v="1200"/>
    <n v="2400"/>
    <s v="RE-2026-0001"/>
    <s v="Top Kunde"/>
  </r>
  <r>
    <d v="2026-01-04T00:00:00"/>
    <x v="1"/>
    <s v="Office Chair X"/>
    <x v="1"/>
    <n v="5"/>
    <n v="150"/>
    <n v="750"/>
    <s v="RE-2026-0002"/>
    <s v="Express Lieferung"/>
  </r>
  <r>
    <d v="2026-01-04T00:00:00"/>
    <x v="2"/>
    <s v="Monitor 27 UHD"/>
    <x v="0"/>
    <n v="3"/>
    <n v="320"/>
    <n v="960"/>
    <s v="RE-2026-0003"/>
    <s v="Defekt gemeldet"/>
  </r>
  <r>
    <d v="2026-01-05T00:00:00"/>
    <x v="0"/>
    <s v="Laptop Air 13"/>
    <x v="0"/>
    <n v="1"/>
    <n v="950"/>
    <n v="950"/>
    <s v="RE-2026-0004"/>
    <s v="VIP"/>
  </r>
  <r>
    <d v="2026-01-06T00:00:00"/>
    <x v="3"/>
    <s v="Schreibtisch L"/>
    <x v="1"/>
    <n v="2"/>
    <n v="400"/>
    <n v="800"/>
    <s v="RE-2026-0005"/>
    <s v="Rückfrage"/>
  </r>
  <r>
    <d v="2026-01-06T00:00:00"/>
    <x v="1"/>
    <s v="Maus Wireless"/>
    <x v="2"/>
    <n v="10"/>
    <n v="25"/>
    <n v="250"/>
    <s v="RE-2026-0006"/>
    <s v="Schnell erledigt"/>
  </r>
  <r>
    <d v="2026-01-07T00:00:00"/>
    <x v="2"/>
    <s v="Tastatur MX"/>
    <x v="2"/>
    <n v="4"/>
    <n v="80"/>
    <n v="320"/>
    <s v="RE-2026-0007"/>
    <s v="Kunde zufrieden"/>
  </r>
  <r>
    <d v="2026-01-07T00:00:00"/>
    <x v="0"/>
    <s v="Docking Station Z"/>
    <x v="2"/>
    <n v="3"/>
    <n v="140"/>
    <n v="420"/>
    <s v="RE-2026-0008"/>
    <s v="Wiederholungskauf"/>
  </r>
  <r>
    <d v="2026-01-08T00:00:00"/>
    <x v="3"/>
    <s v="Laptop Pro 15"/>
    <x v="0"/>
    <n v="1"/>
    <n v="1200"/>
    <n v="1200"/>
    <s v="RE-2026-0009"/>
    <s v="Großauftrag"/>
  </r>
  <r>
    <d v="2026-01-08T00:00:00"/>
    <x v="1"/>
    <s v="Monitor 24 FHD"/>
    <x v="0"/>
    <n v="6"/>
    <n v="180"/>
    <n v="1080"/>
    <s v="RE-2026-0010"/>
    <s v="Rabatt gewährt"/>
  </r>
  <r>
    <d v="2026-01-09T00:00:00"/>
    <x v="2"/>
    <s v="Office Chair X"/>
    <x v="1"/>
    <n v="2"/>
    <n v="150"/>
    <n v="300"/>
    <s v="RE-2026-0011"/>
    <s v="Express"/>
  </r>
  <r>
    <d v="2026-01-09T00:00:00"/>
    <x v="0"/>
    <s v="Maus Wireless"/>
    <x v="2"/>
    <n v="15"/>
    <n v="25"/>
    <n v="375"/>
    <s v="RE-2026-0012"/>
    <s v="Lagerabverkauf"/>
  </r>
  <r>
    <d v="2026-01-10T00:00:00"/>
    <x v="3"/>
    <s v="Laptop Air 13"/>
    <x v="0"/>
    <n v="2"/>
    <n v="950"/>
    <n v="1900"/>
    <s v="RE-2026-0013"/>
    <s v="VIP"/>
  </r>
  <r>
    <d v="2026-01-10T00:00:00"/>
    <x v="1"/>
    <s v="Schreibtisch L"/>
    <x v="1"/>
    <n v="1"/>
    <n v="400"/>
    <n v="400"/>
    <s v="RE-2026-0014"/>
    <s v="Rückfrage"/>
  </r>
  <r>
    <d v="2026-01-11T00:00:00"/>
    <x v="2"/>
    <s v="Monitor 27 UHD"/>
    <x v="0"/>
    <n v="2"/>
    <n v="320"/>
    <n v="640"/>
    <s v="RE-2026-0015"/>
    <s v="Kunde unentschlossen"/>
  </r>
  <r>
    <d v="2026-01-11T00:00:00"/>
    <x v="0"/>
    <s v="Office Chair X"/>
    <x v="1"/>
    <n v="4"/>
    <n v="150"/>
    <n v="600"/>
    <s v="RE-2026-0016"/>
    <s v="Express Lieferung"/>
  </r>
  <r>
    <d v="2026-01-12T00:00:00"/>
    <x v="3"/>
    <s v="Docking Station Z"/>
    <x v="2"/>
    <n v="5"/>
    <n v="140"/>
    <n v="700"/>
    <s v="RE-2026-0017"/>
    <s v="Top Kunde"/>
  </r>
  <r>
    <d v="2026-01-12T00:00:00"/>
    <x v="1"/>
    <s v="Tastatur MX"/>
    <x v="2"/>
    <n v="7"/>
    <n v="80"/>
    <n v="560"/>
    <s v="RE-2026-0018"/>
    <s v="Wiederholungskauf"/>
  </r>
  <r>
    <d v="2026-01-13T00:00:00"/>
    <x v="2"/>
    <s v="Laptop Pro 15"/>
    <x v="0"/>
    <n v="1"/>
    <n v="1200"/>
    <n v="1200"/>
    <s v="RE-2026-0019"/>
    <s v="VIP"/>
  </r>
  <r>
    <d v="2026-01-13T00:00:00"/>
    <x v="0"/>
    <s v="Monitor 24 FHD"/>
    <x v="0"/>
    <n v="3"/>
    <n v="180"/>
    <n v="540"/>
    <s v="RE-2026-0020"/>
    <s v="Rabatt gewährt"/>
  </r>
  <r>
    <d v="2026-01-14T00:00:00"/>
    <x v="3"/>
    <s v="Maus Wireless"/>
    <x v="2"/>
    <n v="20"/>
    <n v="25"/>
    <n v="500"/>
    <s v="RE-2026-0021"/>
    <s v="Großbestellung"/>
  </r>
  <r>
    <d v="2026-01-14T00:00:00"/>
    <x v="1"/>
    <s v="Laptop Air 13"/>
    <x v="0"/>
    <n v="1"/>
    <n v="950"/>
    <n v="950"/>
    <s v="RE-2026-0022"/>
    <s v="Standard"/>
  </r>
  <r>
    <d v="2026-01-15T00:00:00"/>
    <x v="2"/>
    <s v="Schreibtisch L"/>
    <x v="1"/>
    <n v="3"/>
    <n v="400"/>
    <n v="1200"/>
    <s v="RE-2026-0023"/>
    <s v="Rückfrage"/>
  </r>
  <r>
    <d v="2026-01-15T00:00:00"/>
    <x v="0"/>
    <s v="Tastatur MX"/>
    <x v="2"/>
    <n v="6"/>
    <n v="80"/>
    <n v="480"/>
    <s v="RE-2026-0024"/>
    <s v="Kunde zufrieden"/>
  </r>
  <r>
    <d v="2026-01-16T00:00:00"/>
    <x v="3"/>
    <s v="Monitor 27 UHD"/>
    <x v="0"/>
    <n v="4"/>
    <n v="320"/>
    <n v="1280"/>
    <s v="RE-2026-0025"/>
    <s v="VIP"/>
  </r>
  <r>
    <d v="2026-01-16T00:00:00"/>
    <x v="1"/>
    <s v="Office Chair X"/>
    <x v="1"/>
    <n v="8"/>
    <n v="150"/>
    <n v="1200"/>
    <s v="RE-2026-0026"/>
    <s v="Express 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10A70D-D3DB-4FBA-8D20-B1BDE827A0EB}" name="PivotTable1" cacheId="4" applyNumberFormats="0" applyBorderFormats="0" applyFontFormats="0" applyPatternFormats="0" applyAlignmentFormats="0" applyWidthHeightFormats="1" dataCaption="Werte" updatedVersion="8" minRefreshableVersion="3" useAutoFormatting="1" itemPrintTitles="1" createdVersion="8" indent="0" outline="1" outlineData="1" multipleFieldFilters="0">
  <location ref="A3:A4" firstHeaderRow="1" firstDataRow="1" firstDataCol="0"/>
  <pivotFields count="9">
    <pivotField numFmtId="14"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Items count="1">
    <i/>
  </rowItems>
  <colItems count="1">
    <i/>
  </colItems>
  <dataFields count="1">
    <dataField name="Summe von Umsatz" fld="6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B05EA7-310E-42E4-8E02-051C79EDA012}" name="PivotTable1" cacheId="4" applyNumberFormats="0" applyBorderFormats="0" applyFontFormats="0" applyPatternFormats="0" applyAlignmentFormats="0" applyWidthHeightFormats="1" dataCaption="Werte" updatedVersion="8" minRefreshableVersion="3" useAutoFormatting="1" itemPrintTitles="1" createdVersion="8" indent="0" outline="1" outlineData="1" multipleFieldFilters="0">
  <location ref="A3:A4" firstHeaderRow="1" firstDataRow="1" firstDataCol="0"/>
  <pivotFields count="9">
    <pivotField numFmtId="14"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Items count="1">
    <i/>
  </rowItems>
  <colItems count="1">
    <i/>
  </colItems>
  <dataFields count="1">
    <dataField name="Mittelwert von Umsatz" fld="6" subtotal="average" baseField="0" baseItem="0" numFmtId="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2ED429-6218-4F13-9F3B-B21678B62831}" name="PivotTable1" cacheId="4" applyNumberFormats="0" applyBorderFormats="0" applyFontFormats="0" applyPatternFormats="0" applyAlignmentFormats="0" applyWidthHeightFormats="1" dataCaption="Werte" updatedVersion="8" minRefreshableVersion="3" useAutoFormatting="1" itemPrintTitles="1" createdVersion="8" indent="0" outline="1" outlineData="1" multipleFieldFilters="0">
  <location ref="A3:B4" firstHeaderRow="0" firstDataRow="1" firstDataCol="0"/>
  <pivotFields count="9">
    <pivotField numFmtId="14"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Min. von Einzelpreis" fld="5" subtotal="min" baseField="0" baseItem="1" numFmtId="164"/>
    <dataField name="Max. von Einzelpreis2" fld="5" subtotal="max" baseField="0" baseItem="1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BBB403-F310-415A-9E97-01963C9AEE03}" name="PivotTable1" cacheId="4" applyNumberFormats="0" applyBorderFormats="0" applyFontFormats="0" applyPatternFormats="0" applyAlignmentFormats="0" applyWidthHeightFormats="1" dataCaption="Werte" updatedVersion="8" minRefreshableVersion="3" useAutoFormatting="1" itemPrintTitles="1" createdVersion="8" indent="0" outline="1" outlineData="1" multipleFieldFilters="0">
  <location ref="A3:A4" firstHeaderRow="1" firstDataRow="1" firstDataCol="0"/>
  <pivotFields count="9">
    <pivotField dataField="1" numFmtId="14"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Anzahl von Datum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48A640-539F-4D50-AD40-A702D68C8068}" name="PivotTable1" cacheId="4" applyNumberFormats="0" applyBorderFormats="0" applyFontFormats="0" applyPatternFormats="0" applyAlignmentFormats="0" applyWidthHeightFormats="1" dataCaption="Werte" updatedVersion="8" minRefreshableVersion="3" useAutoFormatting="1" itemPrintTitles="1" createdVersion="8" indent="0" outline="1" outlineData="1" multipleFieldFilters="0">
  <location ref="A3:B8" firstHeaderRow="1" firstDataRow="1" firstDataCol="1"/>
  <pivotFields count="9">
    <pivotField numFmtId="14"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nzahl von Rechnung" fld="7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7547CF-426D-48BD-B8C9-6FE0C4E3A8A4}" name="PivotTable1" cacheId="4" applyNumberFormats="0" applyBorderFormats="0" applyFontFormats="0" applyPatternFormats="0" applyAlignmentFormats="0" applyWidthHeightFormats="1" dataCaption="Werte" updatedVersion="8" minRefreshableVersion="3" useAutoFormatting="1" itemPrintTitles="1" createdVersion="8" indent="0" outline="1" outlineData="1" multipleFieldFilters="0">
  <location ref="A3:B7" firstHeaderRow="1" firstDataRow="1" firstDataCol="1"/>
  <pivotFields count="9">
    <pivotField numFmtId="14"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dataField="1"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me von Stück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369281-D571-4B93-94C1-D397CE97E435}" name="PivotTable1" cacheId="4" applyNumberFormats="0" applyBorderFormats="0" applyFontFormats="0" applyPatternFormats="0" applyAlignmentFormats="0" applyWidthHeightFormats="1" dataCaption="Werte" updatedVersion="8" minRefreshableVersion="3" useAutoFormatting="1" itemPrintTitles="1" createdVersion="8" indent="0" outline="1" outlineData="1" multipleFieldFilters="0">
  <location ref="A3:B8" firstHeaderRow="1" firstDataRow="1" firstDataCol="1"/>
  <pivotFields count="9">
    <pivotField numFmtId="14"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me von Umsatz" fld="6" baseField="1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DE73BA-3C58-4E28-9F41-98C3DD9F88F7}" name="PivotTable1" cacheId="4" applyNumberFormats="0" applyBorderFormats="0" applyFontFormats="0" applyPatternFormats="0" applyAlignmentFormats="0" applyWidthHeightFormats="1" dataCaption="Werte" updatedVersion="8" minRefreshableVersion="3" useAutoFormatting="1" itemPrintTitles="1" createdVersion="8" indent="0" outline="1" outlineData="1" multipleFieldFilters="0">
  <location ref="A3:B19" firstHeaderRow="1" firstDataRow="1" firstDataCol="1"/>
  <pivotFields count="9">
    <pivotField numFmtId="14" showAll="0"/>
    <pivotField axis="axisRow" showAll="0">
      <items count="5">
        <item x="0"/>
        <item x="1"/>
        <item x="2"/>
        <item x="3"/>
        <item t="default"/>
      </items>
    </pivotField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</pivotFields>
  <rowFields count="2">
    <field x="3"/>
    <field x="1"/>
  </rowFields>
  <rowItems count="16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 t="grand">
      <x/>
    </i>
  </rowItems>
  <colItems count="1">
    <i/>
  </colItems>
  <dataFields count="1">
    <dataField name="Summe von Umsatz" fld="6" baseField="3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383B3-9907-476A-B8A1-231948CAF4B8}">
  <dimension ref="A1:A17"/>
  <sheetViews>
    <sheetView tabSelected="1" workbookViewId="0"/>
  </sheetViews>
  <sheetFormatPr baseColWidth="10" defaultRowHeight="14.25"/>
  <cols>
    <col min="1" max="1" width="48.875" bestFit="1" customWidth="1"/>
  </cols>
  <sheetData>
    <row r="1" spans="1:1" ht="15">
      <c r="A1" s="4" t="s">
        <v>67</v>
      </c>
    </row>
    <row r="3" spans="1:1">
      <c r="A3" t="s">
        <v>68</v>
      </c>
    </row>
    <row r="5" spans="1:1">
      <c r="A5" t="s">
        <v>75</v>
      </c>
    </row>
    <row r="7" spans="1:1">
      <c r="A7" t="s">
        <v>74</v>
      </c>
    </row>
    <row r="9" spans="1:1">
      <c r="A9" t="s">
        <v>69</v>
      </c>
    </row>
    <row r="11" spans="1:1">
      <c r="A11" t="s">
        <v>70</v>
      </c>
    </row>
    <row r="13" spans="1:1">
      <c r="A13" t="s">
        <v>71</v>
      </c>
    </row>
    <row r="15" spans="1:1">
      <c r="A15" t="s">
        <v>73</v>
      </c>
    </row>
    <row r="17" spans="1:1">
      <c r="A17" t="s">
        <v>72</v>
      </c>
    </row>
  </sheetData>
  <pageMargins left="0.70866141732283472" right="0.70866141732283472" top="0.78740157480314965" bottom="0.78740157480314965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FAFFD-180B-4788-9569-193A349DA4B9}">
  <dimension ref="A1:I27"/>
  <sheetViews>
    <sheetView workbookViewId="0"/>
  </sheetViews>
  <sheetFormatPr baseColWidth="10" defaultRowHeight="14.25"/>
  <cols>
    <col min="1" max="1" width="9.875" bestFit="1" customWidth="1"/>
    <col min="2" max="2" width="11.125" bestFit="1" customWidth="1"/>
    <col min="3" max="3" width="15.125" bestFit="1" customWidth="1"/>
    <col min="4" max="4" width="9.625" bestFit="1" customWidth="1"/>
    <col min="5" max="5" width="5.875" bestFit="1" customWidth="1"/>
    <col min="6" max="6" width="10.875" bestFit="1" customWidth="1"/>
    <col min="7" max="7" width="7.375" bestFit="1" customWidth="1"/>
    <col min="8" max="8" width="12.75" bestFit="1" customWidth="1"/>
    <col min="9" max="9" width="19.625" bestFit="1" customWidth="1"/>
  </cols>
  <sheetData>
    <row r="1" spans="1:9" ht="15">
      <c r="A1" s="3" t="s">
        <v>0</v>
      </c>
      <c r="B1" s="3" t="s">
        <v>66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39</v>
      </c>
      <c r="I1" s="3" t="s">
        <v>6</v>
      </c>
    </row>
    <row r="2" spans="1:9">
      <c r="A2" s="2">
        <v>46025</v>
      </c>
      <c r="B2" s="1" t="s">
        <v>7</v>
      </c>
      <c r="C2" s="1" t="s">
        <v>8</v>
      </c>
      <c r="D2" s="1" t="s">
        <v>9</v>
      </c>
      <c r="E2" s="1">
        <v>2</v>
      </c>
      <c r="F2" s="1">
        <v>1200</v>
      </c>
      <c r="G2" s="1">
        <v>2400</v>
      </c>
      <c r="H2" s="1" t="s">
        <v>40</v>
      </c>
      <c r="I2" s="1" t="s">
        <v>10</v>
      </c>
    </row>
    <row r="3" spans="1:9">
      <c r="A3" s="2">
        <v>46026</v>
      </c>
      <c r="B3" s="1" t="s">
        <v>11</v>
      </c>
      <c r="C3" s="1" t="s">
        <v>12</v>
      </c>
      <c r="D3" s="1" t="s">
        <v>13</v>
      </c>
      <c r="E3" s="1">
        <v>5</v>
      </c>
      <c r="F3" s="1">
        <v>150</v>
      </c>
      <c r="G3" s="1">
        <v>750</v>
      </c>
      <c r="H3" s="1" t="s">
        <v>41</v>
      </c>
      <c r="I3" s="1" t="s">
        <v>14</v>
      </c>
    </row>
    <row r="4" spans="1:9">
      <c r="A4" s="2">
        <v>46026</v>
      </c>
      <c r="B4" s="1" t="s">
        <v>15</v>
      </c>
      <c r="C4" s="1" t="s">
        <v>16</v>
      </c>
      <c r="D4" s="1" t="s">
        <v>9</v>
      </c>
      <c r="E4" s="1">
        <v>3</v>
      </c>
      <c r="F4" s="1">
        <v>320</v>
      </c>
      <c r="G4" s="1">
        <v>960</v>
      </c>
      <c r="H4" s="1" t="s">
        <v>42</v>
      </c>
      <c r="I4" s="1" t="s">
        <v>17</v>
      </c>
    </row>
    <row r="5" spans="1:9">
      <c r="A5" s="2">
        <v>46027</v>
      </c>
      <c r="B5" s="1" t="s">
        <v>7</v>
      </c>
      <c r="C5" s="1" t="s">
        <v>18</v>
      </c>
      <c r="D5" s="1" t="s">
        <v>9</v>
      </c>
      <c r="E5" s="1">
        <v>1</v>
      </c>
      <c r="F5" s="1">
        <v>950</v>
      </c>
      <c r="G5" s="1">
        <v>950</v>
      </c>
      <c r="H5" s="1" t="s">
        <v>43</v>
      </c>
      <c r="I5" s="1" t="s">
        <v>19</v>
      </c>
    </row>
    <row r="6" spans="1:9">
      <c r="A6" s="2">
        <v>46028</v>
      </c>
      <c r="B6" s="1" t="s">
        <v>20</v>
      </c>
      <c r="C6" s="1" t="s">
        <v>21</v>
      </c>
      <c r="D6" s="1" t="s">
        <v>13</v>
      </c>
      <c r="E6" s="1">
        <v>2</v>
      </c>
      <c r="F6" s="1">
        <v>400</v>
      </c>
      <c r="G6" s="1">
        <v>800</v>
      </c>
      <c r="H6" s="1" t="s">
        <v>44</v>
      </c>
      <c r="I6" s="1" t="s">
        <v>22</v>
      </c>
    </row>
    <row r="7" spans="1:9">
      <c r="A7" s="2">
        <v>46028</v>
      </c>
      <c r="B7" s="1" t="s">
        <v>11</v>
      </c>
      <c r="C7" s="1" t="s">
        <v>23</v>
      </c>
      <c r="D7" s="1" t="s">
        <v>24</v>
      </c>
      <c r="E7" s="1">
        <v>10</v>
      </c>
      <c r="F7" s="1">
        <v>25</v>
      </c>
      <c r="G7" s="1">
        <v>250</v>
      </c>
      <c r="H7" s="1" t="s">
        <v>45</v>
      </c>
      <c r="I7" s="1" t="s">
        <v>25</v>
      </c>
    </row>
    <row r="8" spans="1:9">
      <c r="A8" s="2">
        <v>46029</v>
      </c>
      <c r="B8" s="1" t="s">
        <v>15</v>
      </c>
      <c r="C8" s="1" t="s">
        <v>26</v>
      </c>
      <c r="D8" s="1" t="s">
        <v>24</v>
      </c>
      <c r="E8" s="1">
        <v>4</v>
      </c>
      <c r="F8" s="1">
        <v>80</v>
      </c>
      <c r="G8" s="1">
        <v>320</v>
      </c>
      <c r="H8" s="1" t="s">
        <v>46</v>
      </c>
      <c r="I8" s="1" t="s">
        <v>27</v>
      </c>
    </row>
    <row r="9" spans="1:9">
      <c r="A9" s="2">
        <v>46029</v>
      </c>
      <c r="B9" s="1" t="s">
        <v>7</v>
      </c>
      <c r="C9" s="1" t="s">
        <v>28</v>
      </c>
      <c r="D9" s="1" t="s">
        <v>24</v>
      </c>
      <c r="E9" s="1">
        <v>3</v>
      </c>
      <c r="F9" s="1">
        <v>140</v>
      </c>
      <c r="G9" s="1">
        <v>420</v>
      </c>
      <c r="H9" s="1" t="s">
        <v>47</v>
      </c>
      <c r="I9" s="1" t="s">
        <v>29</v>
      </c>
    </row>
    <row r="10" spans="1:9">
      <c r="A10" s="2">
        <v>46030</v>
      </c>
      <c r="B10" s="1" t="s">
        <v>20</v>
      </c>
      <c r="C10" s="1" t="s">
        <v>8</v>
      </c>
      <c r="D10" s="1" t="s">
        <v>9</v>
      </c>
      <c r="E10" s="1">
        <v>1</v>
      </c>
      <c r="F10" s="1">
        <v>1200</v>
      </c>
      <c r="G10" s="1">
        <v>1200</v>
      </c>
      <c r="H10" s="1" t="s">
        <v>48</v>
      </c>
      <c r="I10" s="1" t="s">
        <v>30</v>
      </c>
    </row>
    <row r="11" spans="1:9">
      <c r="A11" s="2">
        <v>46030</v>
      </c>
      <c r="B11" s="1" t="s">
        <v>11</v>
      </c>
      <c r="C11" s="1" t="s">
        <v>31</v>
      </c>
      <c r="D11" s="1" t="s">
        <v>9</v>
      </c>
      <c r="E11" s="1">
        <v>6</v>
      </c>
      <c r="F11" s="1">
        <v>180</v>
      </c>
      <c r="G11" s="1">
        <v>1080</v>
      </c>
      <c r="H11" s="1" t="s">
        <v>49</v>
      </c>
      <c r="I11" s="1" t="s">
        <v>32</v>
      </c>
    </row>
    <row r="12" spans="1:9">
      <c r="A12" s="2">
        <v>46031</v>
      </c>
      <c r="B12" s="1" t="s">
        <v>15</v>
      </c>
      <c r="C12" s="1" t="s">
        <v>12</v>
      </c>
      <c r="D12" s="1" t="s">
        <v>13</v>
      </c>
      <c r="E12" s="1">
        <v>2</v>
      </c>
      <c r="F12" s="1">
        <v>150</v>
      </c>
      <c r="G12" s="1">
        <v>300</v>
      </c>
      <c r="H12" s="1" t="s">
        <v>50</v>
      </c>
      <c r="I12" s="1" t="s">
        <v>33</v>
      </c>
    </row>
    <row r="13" spans="1:9">
      <c r="A13" s="2">
        <v>46031</v>
      </c>
      <c r="B13" s="1" t="s">
        <v>7</v>
      </c>
      <c r="C13" s="1" t="s">
        <v>23</v>
      </c>
      <c r="D13" s="1" t="s">
        <v>24</v>
      </c>
      <c r="E13" s="1">
        <v>15</v>
      </c>
      <c r="F13" s="1">
        <v>25</v>
      </c>
      <c r="G13" s="1">
        <v>375</v>
      </c>
      <c r="H13" s="1" t="s">
        <v>51</v>
      </c>
      <c r="I13" s="1" t="s">
        <v>34</v>
      </c>
    </row>
    <row r="14" spans="1:9">
      <c r="A14" s="2">
        <v>46032</v>
      </c>
      <c r="B14" s="1" t="s">
        <v>20</v>
      </c>
      <c r="C14" s="1" t="s">
        <v>18</v>
      </c>
      <c r="D14" s="1" t="s">
        <v>9</v>
      </c>
      <c r="E14" s="1">
        <v>2</v>
      </c>
      <c r="F14" s="1">
        <v>950</v>
      </c>
      <c r="G14" s="1">
        <v>1900</v>
      </c>
      <c r="H14" s="1" t="s">
        <v>52</v>
      </c>
      <c r="I14" s="1" t="s">
        <v>19</v>
      </c>
    </row>
    <row r="15" spans="1:9">
      <c r="A15" s="2">
        <v>46032</v>
      </c>
      <c r="B15" s="1" t="s">
        <v>11</v>
      </c>
      <c r="C15" s="1" t="s">
        <v>21</v>
      </c>
      <c r="D15" s="1" t="s">
        <v>13</v>
      </c>
      <c r="E15" s="1">
        <v>1</v>
      </c>
      <c r="F15" s="1">
        <v>400</v>
      </c>
      <c r="G15" s="1">
        <v>400</v>
      </c>
      <c r="H15" s="1" t="s">
        <v>53</v>
      </c>
      <c r="I15" s="1" t="s">
        <v>22</v>
      </c>
    </row>
    <row r="16" spans="1:9">
      <c r="A16" s="2">
        <v>46033</v>
      </c>
      <c r="B16" s="1" t="s">
        <v>15</v>
      </c>
      <c r="C16" s="1" t="s">
        <v>16</v>
      </c>
      <c r="D16" s="1" t="s">
        <v>9</v>
      </c>
      <c r="E16" s="1">
        <v>2</v>
      </c>
      <c r="F16" s="1">
        <v>320</v>
      </c>
      <c r="G16" s="1">
        <v>640</v>
      </c>
      <c r="H16" s="1" t="s">
        <v>54</v>
      </c>
      <c r="I16" s="1" t="s">
        <v>35</v>
      </c>
    </row>
    <row r="17" spans="1:9">
      <c r="A17" s="2">
        <v>46033</v>
      </c>
      <c r="B17" s="1" t="s">
        <v>7</v>
      </c>
      <c r="C17" s="1" t="s">
        <v>12</v>
      </c>
      <c r="D17" s="1" t="s">
        <v>13</v>
      </c>
      <c r="E17" s="1">
        <v>4</v>
      </c>
      <c r="F17" s="1">
        <v>150</v>
      </c>
      <c r="G17" s="1">
        <v>600</v>
      </c>
      <c r="H17" s="1" t="s">
        <v>55</v>
      </c>
      <c r="I17" s="1" t="s">
        <v>14</v>
      </c>
    </row>
    <row r="18" spans="1:9">
      <c r="A18" s="2">
        <v>46034</v>
      </c>
      <c r="B18" s="1" t="s">
        <v>20</v>
      </c>
      <c r="C18" s="1" t="s">
        <v>28</v>
      </c>
      <c r="D18" s="1" t="s">
        <v>24</v>
      </c>
      <c r="E18" s="1">
        <v>5</v>
      </c>
      <c r="F18" s="1">
        <v>140</v>
      </c>
      <c r="G18" s="1">
        <v>700</v>
      </c>
      <c r="H18" s="1" t="s">
        <v>56</v>
      </c>
      <c r="I18" s="1" t="s">
        <v>10</v>
      </c>
    </row>
    <row r="19" spans="1:9">
      <c r="A19" s="2">
        <v>46034</v>
      </c>
      <c r="B19" s="1" t="s">
        <v>11</v>
      </c>
      <c r="C19" s="1" t="s">
        <v>26</v>
      </c>
      <c r="D19" s="1" t="s">
        <v>24</v>
      </c>
      <c r="E19" s="1">
        <v>7</v>
      </c>
      <c r="F19" s="1">
        <v>80</v>
      </c>
      <c r="G19" s="1">
        <v>560</v>
      </c>
      <c r="H19" s="1" t="s">
        <v>57</v>
      </c>
      <c r="I19" s="1" t="s">
        <v>29</v>
      </c>
    </row>
    <row r="20" spans="1:9">
      <c r="A20" s="2">
        <v>46035</v>
      </c>
      <c r="B20" s="1" t="s">
        <v>15</v>
      </c>
      <c r="C20" s="1" t="s">
        <v>8</v>
      </c>
      <c r="D20" s="1" t="s">
        <v>9</v>
      </c>
      <c r="E20" s="1">
        <v>1</v>
      </c>
      <c r="F20" s="1">
        <v>1200</v>
      </c>
      <c r="G20" s="1">
        <v>1200</v>
      </c>
      <c r="H20" s="1" t="s">
        <v>58</v>
      </c>
      <c r="I20" s="1" t="s">
        <v>19</v>
      </c>
    </row>
    <row r="21" spans="1:9">
      <c r="A21" s="2">
        <v>46035</v>
      </c>
      <c r="B21" s="1" t="s">
        <v>7</v>
      </c>
      <c r="C21" s="1" t="s">
        <v>31</v>
      </c>
      <c r="D21" s="1" t="s">
        <v>9</v>
      </c>
      <c r="E21" s="1">
        <v>3</v>
      </c>
      <c r="F21" s="1">
        <v>180</v>
      </c>
      <c r="G21" s="1">
        <v>540</v>
      </c>
      <c r="H21" s="1" t="s">
        <v>59</v>
      </c>
      <c r="I21" s="1" t="s">
        <v>32</v>
      </c>
    </row>
    <row r="22" spans="1:9">
      <c r="A22" s="2">
        <v>46036</v>
      </c>
      <c r="B22" s="1" t="s">
        <v>20</v>
      </c>
      <c r="C22" s="1" t="s">
        <v>23</v>
      </c>
      <c r="D22" s="1" t="s">
        <v>24</v>
      </c>
      <c r="E22" s="1">
        <v>20</v>
      </c>
      <c r="F22" s="1">
        <v>25</v>
      </c>
      <c r="G22" s="1">
        <v>500</v>
      </c>
      <c r="H22" s="1" t="s">
        <v>60</v>
      </c>
      <c r="I22" s="1" t="s">
        <v>36</v>
      </c>
    </row>
    <row r="23" spans="1:9">
      <c r="A23" s="2">
        <v>46036</v>
      </c>
      <c r="B23" s="1" t="s">
        <v>11</v>
      </c>
      <c r="C23" s="1" t="s">
        <v>18</v>
      </c>
      <c r="D23" s="1" t="s">
        <v>9</v>
      </c>
      <c r="E23" s="1">
        <v>1</v>
      </c>
      <c r="F23" s="1">
        <v>950</v>
      </c>
      <c r="G23" s="1">
        <v>950</v>
      </c>
      <c r="H23" s="1" t="s">
        <v>61</v>
      </c>
      <c r="I23" s="1" t="s">
        <v>37</v>
      </c>
    </row>
    <row r="24" spans="1:9">
      <c r="A24" s="2">
        <v>46037</v>
      </c>
      <c r="B24" s="1" t="s">
        <v>15</v>
      </c>
      <c r="C24" s="1" t="s">
        <v>21</v>
      </c>
      <c r="D24" s="1" t="s">
        <v>13</v>
      </c>
      <c r="E24" s="1">
        <v>3</v>
      </c>
      <c r="F24" s="1">
        <v>400</v>
      </c>
      <c r="G24" s="1">
        <v>1200</v>
      </c>
      <c r="H24" s="1" t="s">
        <v>62</v>
      </c>
      <c r="I24" s="1" t="s">
        <v>22</v>
      </c>
    </row>
    <row r="25" spans="1:9">
      <c r="A25" s="2">
        <v>46037</v>
      </c>
      <c r="B25" s="1" t="s">
        <v>7</v>
      </c>
      <c r="C25" s="1" t="s">
        <v>26</v>
      </c>
      <c r="D25" s="1" t="s">
        <v>24</v>
      </c>
      <c r="E25" s="1">
        <v>6</v>
      </c>
      <c r="F25" s="1">
        <v>80</v>
      </c>
      <c r="G25" s="1">
        <v>480</v>
      </c>
      <c r="H25" s="1" t="s">
        <v>63</v>
      </c>
      <c r="I25" s="1" t="s">
        <v>27</v>
      </c>
    </row>
    <row r="26" spans="1:9">
      <c r="A26" s="2">
        <v>46038</v>
      </c>
      <c r="B26" s="1" t="s">
        <v>20</v>
      </c>
      <c r="C26" s="1" t="s">
        <v>16</v>
      </c>
      <c r="D26" s="1" t="s">
        <v>9</v>
      </c>
      <c r="E26" s="1">
        <v>4</v>
      </c>
      <c r="F26" s="1">
        <v>320</v>
      </c>
      <c r="G26" s="1">
        <v>1280</v>
      </c>
      <c r="H26" s="1" t="s">
        <v>64</v>
      </c>
      <c r="I26" s="1" t="s">
        <v>19</v>
      </c>
    </row>
    <row r="27" spans="1:9">
      <c r="A27" s="2">
        <v>46038</v>
      </c>
      <c r="B27" s="1" t="s">
        <v>11</v>
      </c>
      <c r="C27" s="1" t="s">
        <v>12</v>
      </c>
      <c r="D27" s="1" t="s">
        <v>13</v>
      </c>
      <c r="E27" s="1">
        <v>8</v>
      </c>
      <c r="F27" s="1">
        <v>150</v>
      </c>
      <c r="G27" s="1">
        <v>1200</v>
      </c>
      <c r="H27" s="1" t="s">
        <v>65</v>
      </c>
      <c r="I27" s="1" t="s">
        <v>38</v>
      </c>
    </row>
  </sheetData>
  <phoneticPr fontId="2" type="noConversion"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80FDA-1FD3-41BB-AA0D-E57CBE4C1805}">
  <dimension ref="A3:A4"/>
  <sheetViews>
    <sheetView workbookViewId="0"/>
  </sheetViews>
  <sheetFormatPr baseColWidth="10" defaultRowHeight="14.25"/>
  <cols>
    <col min="1" max="1" width="18.375" bestFit="1" customWidth="1"/>
  </cols>
  <sheetData>
    <row r="3" spans="1:1">
      <c r="A3" t="s">
        <v>76</v>
      </c>
    </row>
    <row r="4" spans="1:1">
      <c r="A4" s="6">
        <v>21955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B42AC-FD7D-47AC-8DCA-49A85F296962}">
  <dimension ref="A3:A4"/>
  <sheetViews>
    <sheetView workbookViewId="0"/>
  </sheetViews>
  <sheetFormatPr baseColWidth="10" defaultRowHeight="14.25"/>
  <cols>
    <col min="1" max="1" width="20.75" bestFit="1" customWidth="1"/>
  </cols>
  <sheetData>
    <row r="3" spans="1:1">
      <c r="A3" t="s">
        <v>77</v>
      </c>
    </row>
    <row r="4" spans="1:1">
      <c r="A4" s="7">
        <v>844.42307692307691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2503F-5682-4190-B86E-0A5D076D99D2}">
  <dimension ref="A3:B4"/>
  <sheetViews>
    <sheetView workbookViewId="0"/>
  </sheetViews>
  <sheetFormatPr baseColWidth="10" defaultRowHeight="14.25"/>
  <cols>
    <col min="1" max="1" width="19.125" bestFit="1" customWidth="1"/>
    <col min="2" max="2" width="20.5" bestFit="1" customWidth="1"/>
  </cols>
  <sheetData>
    <row r="3" spans="1:2">
      <c r="A3" t="s">
        <v>78</v>
      </c>
      <c r="B3" t="s">
        <v>79</v>
      </c>
    </row>
    <row r="4" spans="1:2">
      <c r="A4" s="6">
        <v>25</v>
      </c>
      <c r="B4" s="6">
        <v>1200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A0209-2029-4815-8773-0597A3FFA232}">
  <dimension ref="A3:A4"/>
  <sheetViews>
    <sheetView workbookViewId="0">
      <selection activeCell="A3" sqref="A3"/>
    </sheetView>
  </sheetViews>
  <sheetFormatPr baseColWidth="10" defaultRowHeight="14.25"/>
  <cols>
    <col min="1" max="1" width="16.875" bestFit="1" customWidth="1"/>
  </cols>
  <sheetData>
    <row r="3" spans="1:1">
      <c r="A3" t="s">
        <v>80</v>
      </c>
    </row>
    <row r="4" spans="1:1">
      <c r="A4" s="5">
        <v>26</v>
      </c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5213D-870E-4DB1-B654-177F9B1568D3}">
  <dimension ref="A3:B8"/>
  <sheetViews>
    <sheetView workbookViewId="0"/>
  </sheetViews>
  <sheetFormatPr baseColWidth="10" defaultRowHeight="14.25"/>
  <cols>
    <col min="1" max="1" width="21.875" bestFit="1" customWidth="1"/>
    <col min="2" max="2" width="20.375" bestFit="1" customWidth="1"/>
  </cols>
  <sheetData>
    <row r="3" spans="1:2">
      <c r="A3" s="8" t="s">
        <v>81</v>
      </c>
      <c r="B3" t="s">
        <v>83</v>
      </c>
    </row>
    <row r="4" spans="1:2">
      <c r="A4" s="9" t="s">
        <v>7</v>
      </c>
      <c r="B4" s="5">
        <v>7</v>
      </c>
    </row>
    <row r="5" spans="1:2">
      <c r="A5" s="9" t="s">
        <v>11</v>
      </c>
      <c r="B5" s="5">
        <v>7</v>
      </c>
    </row>
    <row r="6" spans="1:2">
      <c r="A6" s="9" t="s">
        <v>15</v>
      </c>
      <c r="B6" s="5">
        <v>6</v>
      </c>
    </row>
    <row r="7" spans="1:2">
      <c r="A7" s="9" t="s">
        <v>20</v>
      </c>
      <c r="B7" s="5">
        <v>6</v>
      </c>
    </row>
    <row r="8" spans="1:2">
      <c r="A8" s="9" t="s">
        <v>82</v>
      </c>
      <c r="B8" s="5">
        <v>26</v>
      </c>
    </row>
  </sheetData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5D343-DEC7-4BB6-B91A-55B308C80E90}">
  <dimension ref="A3:B7"/>
  <sheetViews>
    <sheetView workbookViewId="0">
      <selection activeCell="A3" sqref="A3"/>
    </sheetView>
  </sheetViews>
  <sheetFormatPr baseColWidth="10" defaultRowHeight="14.25"/>
  <cols>
    <col min="1" max="1" width="21.875" bestFit="1" customWidth="1"/>
    <col min="2" max="2" width="16.875" bestFit="1" customWidth="1"/>
  </cols>
  <sheetData>
    <row r="3" spans="1:2">
      <c r="A3" s="8" t="s">
        <v>81</v>
      </c>
      <c r="B3" t="s">
        <v>84</v>
      </c>
    </row>
    <row r="4" spans="1:2">
      <c r="A4" s="9" t="s">
        <v>9</v>
      </c>
      <c r="B4" s="5">
        <v>26</v>
      </c>
    </row>
    <row r="5" spans="1:2">
      <c r="A5" s="9" t="s">
        <v>13</v>
      </c>
      <c r="B5" s="5">
        <v>25</v>
      </c>
    </row>
    <row r="6" spans="1:2">
      <c r="A6" s="9" t="s">
        <v>24</v>
      </c>
      <c r="B6" s="5">
        <v>70</v>
      </c>
    </row>
    <row r="7" spans="1:2">
      <c r="A7" s="9" t="s">
        <v>82</v>
      </c>
      <c r="B7" s="5">
        <v>121</v>
      </c>
    </row>
  </sheetData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1FDB8-80C0-402B-973F-1D2F750AA7BC}">
  <dimension ref="A3:B8"/>
  <sheetViews>
    <sheetView workbookViewId="0"/>
  </sheetViews>
  <sheetFormatPr baseColWidth="10" defaultRowHeight="14.25"/>
  <cols>
    <col min="1" max="1" width="21.875" bestFit="1" customWidth="1"/>
    <col min="2" max="2" width="18.375" bestFit="1" customWidth="1"/>
  </cols>
  <sheetData>
    <row r="3" spans="1:2">
      <c r="A3" s="8" t="s">
        <v>81</v>
      </c>
      <c r="B3" t="s">
        <v>76</v>
      </c>
    </row>
    <row r="4" spans="1:2">
      <c r="A4" s="9" t="s">
        <v>7</v>
      </c>
      <c r="B4" s="6">
        <v>5765</v>
      </c>
    </row>
    <row r="5" spans="1:2">
      <c r="A5" s="9" t="s">
        <v>11</v>
      </c>
      <c r="B5" s="6">
        <v>5190</v>
      </c>
    </row>
    <row r="6" spans="1:2">
      <c r="A6" s="9" t="s">
        <v>15</v>
      </c>
      <c r="B6" s="6">
        <v>4620</v>
      </c>
    </row>
    <row r="7" spans="1:2">
      <c r="A7" s="9" t="s">
        <v>20</v>
      </c>
      <c r="B7" s="6">
        <v>6380</v>
      </c>
    </row>
    <row r="8" spans="1:2">
      <c r="A8" s="9" t="s">
        <v>82</v>
      </c>
      <c r="B8" s="6">
        <v>21955</v>
      </c>
    </row>
  </sheetData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EE00B-C82E-4544-8F12-998A75F20CAE}">
  <dimension ref="A3:B19"/>
  <sheetViews>
    <sheetView workbookViewId="0"/>
  </sheetViews>
  <sheetFormatPr baseColWidth="10" defaultRowHeight="14.25"/>
  <cols>
    <col min="1" max="1" width="21.875" bestFit="1" customWidth="1"/>
    <col min="2" max="2" width="18.375" bestFit="1" customWidth="1"/>
  </cols>
  <sheetData>
    <row r="3" spans="1:2">
      <c r="A3" s="8" t="s">
        <v>81</v>
      </c>
      <c r="B3" t="s">
        <v>76</v>
      </c>
    </row>
    <row r="4" spans="1:2">
      <c r="A4" s="9" t="s">
        <v>9</v>
      </c>
      <c r="B4" s="6">
        <v>13100</v>
      </c>
    </row>
    <row r="5" spans="1:2">
      <c r="A5" s="10" t="s">
        <v>7</v>
      </c>
      <c r="B5" s="6">
        <v>3890</v>
      </c>
    </row>
    <row r="6" spans="1:2">
      <c r="A6" s="10" t="s">
        <v>11</v>
      </c>
      <c r="B6" s="6">
        <v>2030</v>
      </c>
    </row>
    <row r="7" spans="1:2">
      <c r="A7" s="10" t="s">
        <v>15</v>
      </c>
      <c r="B7" s="6">
        <v>2800</v>
      </c>
    </row>
    <row r="8" spans="1:2">
      <c r="A8" s="10" t="s">
        <v>20</v>
      </c>
      <c r="B8" s="6">
        <v>4380</v>
      </c>
    </row>
    <row r="9" spans="1:2">
      <c r="A9" s="9" t="s">
        <v>13</v>
      </c>
      <c r="B9" s="6">
        <v>5250</v>
      </c>
    </row>
    <row r="10" spans="1:2">
      <c r="A10" s="10" t="s">
        <v>7</v>
      </c>
      <c r="B10" s="6">
        <v>600</v>
      </c>
    </row>
    <row r="11" spans="1:2">
      <c r="A11" s="10" t="s">
        <v>11</v>
      </c>
      <c r="B11" s="6">
        <v>2350</v>
      </c>
    </row>
    <row r="12" spans="1:2">
      <c r="A12" s="10" t="s">
        <v>15</v>
      </c>
      <c r="B12" s="6">
        <v>1500</v>
      </c>
    </row>
    <row r="13" spans="1:2">
      <c r="A13" s="10" t="s">
        <v>20</v>
      </c>
      <c r="B13" s="6">
        <v>800</v>
      </c>
    </row>
    <row r="14" spans="1:2">
      <c r="A14" s="9" t="s">
        <v>24</v>
      </c>
      <c r="B14" s="6">
        <v>3605</v>
      </c>
    </row>
    <row r="15" spans="1:2">
      <c r="A15" s="10" t="s">
        <v>7</v>
      </c>
      <c r="B15" s="6">
        <v>1275</v>
      </c>
    </row>
    <row r="16" spans="1:2">
      <c r="A16" s="10" t="s">
        <v>11</v>
      </c>
      <c r="B16" s="6">
        <v>810</v>
      </c>
    </row>
    <row r="17" spans="1:2">
      <c r="A17" s="10" t="s">
        <v>15</v>
      </c>
      <c r="B17" s="6">
        <v>320</v>
      </c>
    </row>
    <row r="18" spans="1:2">
      <c r="A18" s="10" t="s">
        <v>20</v>
      </c>
      <c r="B18" s="6">
        <v>1200</v>
      </c>
    </row>
    <row r="19" spans="1:2">
      <c r="A19" s="9" t="s">
        <v>82</v>
      </c>
      <c r="B19" s="6">
        <v>21955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10</vt:i4>
      </vt:variant>
    </vt:vector>
  </HeadingPairs>
  <TitlesOfParts>
    <vt:vector size="10" baseType="lpstr">
      <vt:lpstr>aufgaben</vt:lpstr>
      <vt:lpstr>verkaeufe</vt:lpstr>
      <vt:lpstr>a1</vt:lpstr>
      <vt:lpstr>a2</vt:lpstr>
      <vt:lpstr>a3</vt:lpstr>
      <vt:lpstr>a4</vt:lpstr>
      <vt:lpstr>a5</vt:lpstr>
      <vt:lpstr>a6</vt:lpstr>
      <vt:lpstr>a7</vt:lpstr>
      <vt:lpstr>a8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Werlberger</dc:creator>
  <cp:lastModifiedBy>Christian Werlberger</cp:lastModifiedBy>
  <cp:lastPrinted>2026-03-01T09:15:41Z</cp:lastPrinted>
  <dcterms:created xsi:type="dcterms:W3CDTF">2026-03-01T08:16:11Z</dcterms:created>
  <dcterms:modified xsi:type="dcterms:W3CDTF">2026-03-07T22:45:14Z</dcterms:modified>
</cp:coreProperties>
</file>