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3_funktionen/"/>
    </mc:Choice>
  </mc:AlternateContent>
  <xr:revisionPtr revIDLastSave="302" documentId="8_{779AA192-4A43-4F43-9915-F50593562C52}" xr6:coauthVersionLast="47" xr6:coauthVersionMax="47" xr10:uidLastSave="{B7E0BBD5-AF37-463E-BCB8-BBDFDAD42316}"/>
  <bookViews>
    <workbookView xWindow="-28920" yWindow="-120" windowWidth="29040" windowHeight="16440" xr2:uid="{600B6445-F8F5-4FC8-BA0A-467CF15BF364}"/>
  </bookViews>
  <sheets>
    <sheet name="aufgaben" sheetId="4" r:id="rId1"/>
    <sheet name="verkaeufe" sheetId="2" r:id="rId2"/>
    <sheet name="mitarbeiter" sheetId="1" r:id="rId3"/>
    <sheet name="mitarbeiter_transponiert" sheetId="5" r:id="rId4"/>
  </sheets>
  <definedNames>
    <definedName name="_xlnm._FilterDatabase" localSheetId="1" hidden="1">verkaeufe!$A$1:$N$27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" i="2"/>
  <c r="E3" i="1" a="1"/>
  <c r="E3" i="1" s="1"/>
  <c r="E4" i="1" a="1"/>
  <c r="E4" i="1" s="1"/>
  <c r="E5" i="1" a="1"/>
  <c r="E5" i="1" s="1"/>
  <c r="E2" i="1" a="1"/>
  <c r="E2" i="1" s="1"/>
  <c r="B63" i="4"/>
  <c r="B61" i="4"/>
  <c r="B29" i="4"/>
  <c r="B27" i="4"/>
  <c r="B25" i="4"/>
  <c r="B19" i="4"/>
  <c r="B17" i="4"/>
  <c r="B15" i="4"/>
  <c r="B13" i="4"/>
  <c r="B11" i="4"/>
  <c r="C9" i="4"/>
  <c r="B9" i="4"/>
  <c r="B7" i="4"/>
  <c r="B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<sst xmlns="http://schemas.openxmlformats.org/spreadsheetml/2006/main" count="268" uniqueCount="133">
  <si>
    <t>Datum</t>
  </si>
  <si>
    <t>Produkt</t>
  </si>
  <si>
    <t>Kategorie</t>
  </si>
  <si>
    <t>Stück</t>
  </si>
  <si>
    <t>Einzelpreis</t>
  </si>
  <si>
    <t>Umsatz</t>
  </si>
  <si>
    <t>Kommentar</t>
  </si>
  <si>
    <t>Anna</t>
  </si>
  <si>
    <t>Laptop Pro 15</t>
  </si>
  <si>
    <t>Computer</t>
  </si>
  <si>
    <t>Top Kunde</t>
  </si>
  <si>
    <t>Ben</t>
  </si>
  <si>
    <t>Office Chair X</t>
  </si>
  <si>
    <t>Möbel</t>
  </si>
  <si>
    <t>Express Lieferung</t>
  </si>
  <si>
    <t>Clara</t>
  </si>
  <si>
    <t>Monitor 27 UHD</t>
  </si>
  <si>
    <t>Defekt gemeldet</t>
  </si>
  <si>
    <t>Laptop Air 13</t>
  </si>
  <si>
    <t>VIP</t>
  </si>
  <si>
    <t>David</t>
  </si>
  <si>
    <t>Schreibtisch L</t>
  </si>
  <si>
    <t>Rückfrage</t>
  </si>
  <si>
    <t>Maus Wireless</t>
  </si>
  <si>
    <t>Zubehör</t>
  </si>
  <si>
    <t>Schnell erledigt</t>
  </si>
  <si>
    <t>Tastatur MX</t>
  </si>
  <si>
    <t>Kunde zufrieden</t>
  </si>
  <si>
    <t>Docking Station Z</t>
  </si>
  <si>
    <t>Wiederholungskauf</t>
  </si>
  <si>
    <t>Großauftrag</t>
  </si>
  <si>
    <t>Monitor 24 FHD</t>
  </si>
  <si>
    <t>Rabatt gewährt</t>
  </si>
  <si>
    <t>Express</t>
  </si>
  <si>
    <t>Lagerabverkauf</t>
  </si>
  <si>
    <t>Kunde unentschlossen</t>
  </si>
  <si>
    <t>Großbestellung</t>
  </si>
  <si>
    <t>Standard</t>
  </si>
  <si>
    <t xml:space="preserve">Express </t>
  </si>
  <si>
    <t>Abteilung</t>
  </si>
  <si>
    <t>E-Mail</t>
  </si>
  <si>
    <t>Kürzel</t>
  </si>
  <si>
    <t>Sales</t>
  </si>
  <si>
    <t>anna@firma.at</t>
  </si>
  <si>
    <t>AN</t>
  </si>
  <si>
    <t>ben@firma.at</t>
  </si>
  <si>
    <t>BE</t>
  </si>
  <si>
    <t>Support</t>
  </si>
  <si>
    <t>clara@firma.at</t>
  </si>
  <si>
    <t>CL</t>
  </si>
  <si>
    <t>david@firma.at</t>
  </si>
  <si>
    <t>DA</t>
  </si>
  <si>
    <t>Rechnung</t>
  </si>
  <si>
    <t>RE-2026-0001</t>
  </si>
  <si>
    <t>RE-2026-0002</t>
  </si>
  <si>
    <t>RE-2026-0003</t>
  </si>
  <si>
    <t>RE-2026-0004</t>
  </si>
  <si>
    <t>RE-2026-0005</t>
  </si>
  <si>
    <t>RE-2026-0006</t>
  </si>
  <si>
    <t>RE-2026-0007</t>
  </si>
  <si>
    <t>RE-2026-0008</t>
  </si>
  <si>
    <t>RE-2026-0009</t>
  </si>
  <si>
    <t>RE-2026-0010</t>
  </si>
  <si>
    <t>RE-2026-0011</t>
  </si>
  <si>
    <t>RE-2026-0012</t>
  </si>
  <si>
    <t>RE-2026-0013</t>
  </si>
  <si>
    <t>RE-2026-0014</t>
  </si>
  <si>
    <t>RE-2026-0015</t>
  </si>
  <si>
    <t>RE-2026-0016</t>
  </si>
  <si>
    <t>RE-2026-0017</t>
  </si>
  <si>
    <t>RE-2026-0018</t>
  </si>
  <si>
    <t>RE-2026-0019</t>
  </si>
  <si>
    <t>RE-2026-0020</t>
  </si>
  <si>
    <t>RE-2026-0021</t>
  </si>
  <si>
    <t>RE-2026-0022</t>
  </si>
  <si>
    <t>RE-2026-0023</t>
  </si>
  <si>
    <t>RE-2026-0024</t>
  </si>
  <si>
    <t>RE-2026-0025</t>
  </si>
  <si>
    <t>RE-2026-0026</t>
  </si>
  <si>
    <t>VerkäuferIn</t>
  </si>
  <si>
    <t>Gesamtumsatz aller Verkäufe:</t>
  </si>
  <si>
    <t>Günstigster und teuerster Einzelpreis:</t>
  </si>
  <si>
    <t>Durchschnittlicher Umsatz:</t>
  </si>
  <si>
    <t>Wie viele Verkäufe wurden erfasst?</t>
  </si>
  <si>
    <t>Wie oft hat Anna verkauft?</t>
  </si>
  <si>
    <t>Wie viele Computer‑Produkte wurden verkauft?</t>
  </si>
  <si>
    <t>Gesamtumsatz von Ben:</t>
  </si>
  <si>
    <t>Umsatz der Kategorie "Computer" von "Clara":</t>
  </si>
  <si>
    <t>3.1 Grundrechen- und Statistikfunktionen</t>
  </si>
  <si>
    <t>3.2 Nachschlage- und Verweisfunktionen</t>
  </si>
  <si>
    <t>E-Mail von "David" mit SVERWEIS:</t>
  </si>
  <si>
    <t>E-Mail von "David" mit XVERWEIS:</t>
  </si>
  <si>
    <t>3.3 Logische Funktionen</t>
  </si>
  <si>
    <t>Markiere Verkäufe über 1.000 €:</t>
  </si>
  <si>
    <t>Prüfe: Verkäuferin ist Anna und Kategorie ist Computer:</t>
  </si>
  <si>
    <t>Prüfe: Kategorie ist Computer oder Zubehör:</t>
  </si>
  <si>
    <t>E-Mail per XVERWEIS + Fehler abfangen:</t>
  </si>
  <si>
    <t>Tabellenblatt 'verkaeufe'</t>
  </si>
  <si>
    <t>3.4 Textfunktionen</t>
  </si>
  <si>
    <t>Produkt + Kategorie kombinieren:</t>
  </si>
  <si>
    <t>VerkäuferIn, Abteilung u. Mail kombinieren (ohne Funktion):</t>
  </si>
  <si>
    <t>Tabellenblatt 'mitarbeiter'</t>
  </si>
  <si>
    <t>EMail-Adresse zerlegen:</t>
  </si>
  <si>
    <t>Erste 3 Buchstaben der Kategorie</t>
  </si>
  <si>
    <t>Überflüssige Leerzeichen entfernen</t>
  </si>
  <si>
    <t>eigenes Beispiel</t>
  </si>
  <si>
    <t>3.5 Datums- und Zeitfunktionen</t>
  </si>
  <si>
    <t>Heutiges Datum:</t>
  </si>
  <si>
    <t>Heutiges Datum + Uhrzeit:</t>
  </si>
  <si>
    <t>Neue Spalte "Tage seit Verkauf"</t>
  </si>
  <si>
    <t>Fortgeschritten</t>
  </si>
  <si>
    <t>Teile den Verkäufern alle Rechnungsnummern ihrer Verkäufe zu (siehe Screenshot)</t>
  </si>
  <si>
    <t>ANWENDUNG VON FUNKTIONEN</t>
  </si>
  <si>
    <t>SUMME</t>
  </si>
  <si>
    <t>MITTELWERT</t>
  </si>
  <si>
    <t>MIN / MAX</t>
  </si>
  <si>
    <t>ANZAHL: zählt Zellen mit numerischen Werten; ANZAHL2: zählt Zellen, die nicht leer sind</t>
  </si>
  <si>
    <t>ZÄHLENWENN</t>
  </si>
  <si>
    <t>Transponiere die Mitarbeiterdaten und wende den WVERWEIS an.</t>
  </si>
  <si>
    <t>Für das Transponieren der Mitarbeiter:</t>
  </si>
  <si>
    <t>- Ursprüngliche Tabelle kopieren</t>
  </si>
  <si>
    <t>- Rechte Maustaste - Inhalte einfügen - Inhalte einfügen</t>
  </si>
  <si>
    <t>- Werte + Transponieren</t>
  </si>
  <si>
    <t>Rechnungen</t>
  </si>
  <si>
    <t>Umsatz &gt;1.000?</t>
  </si>
  <si>
    <t>Anna + Computer</t>
  </si>
  <si>
    <t>Kat: Computer ODER Zubehör</t>
  </si>
  <si>
    <t>Mail</t>
  </si>
  <si>
    <t>Tage seit Verkauf</t>
  </si>
  <si>
    <t>keine Lösung</t>
  </si>
  <si>
    <t>ok</t>
  </si>
  <si>
    <t>SUMMEWENN</t>
  </si>
  <si>
    <t>SUMMEWENNS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</si>
</sst>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44" fontId="0" fillId="2" borderId="1" xfId="1" applyFont="1" applyFill="1" applyBorder="1"/>
    <xf numFmtId="44" fontId="0" fillId="0" borderId="1" xfId="1" applyFont="1" applyBorder="1"/>
    <xf numFmtId="44" fontId="0" fillId="2" borderId="1" xfId="0" applyNumberFormat="1" applyFill="1" applyBorder="1"/>
    <xf numFmtId="0" fontId="0" fillId="0" borderId="0" xfId="0" quotePrefix="1"/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/>
    <xf numFmtId="22" fontId="0" fillId="2" borderId="1" xfId="0" applyNumberFormat="1" applyFill="1" applyBorder="1"/>
    <xf numFmtId="0" fontId="0" fillId="0" borderId="1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71</xdr:row>
      <xdr:rowOff>19050</xdr:rowOff>
    </xdr:from>
    <xdr:to>
      <xdr:col>8</xdr:col>
      <xdr:colOff>296775</xdr:colOff>
      <xdr:row>77</xdr:row>
      <xdr:rowOff>104939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BE5AD53-7236-9C4B-1A84-5B04CDF93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3115925"/>
          <a:ext cx="10745700" cy="1171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</xdr:colOff>
      <xdr:row>7</xdr:row>
      <xdr:rowOff>85725</xdr:rowOff>
    </xdr:from>
    <xdr:to>
      <xdr:col>17</xdr:col>
      <xdr:colOff>276841</xdr:colOff>
      <xdr:row>26</xdr:row>
      <xdr:rowOff>95737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7E616DB-1990-D342-1FA8-62F05ECE0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4675" y="1371600"/>
          <a:ext cx="4410691" cy="3486637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7</xdr:row>
      <xdr:rowOff>114300</xdr:rowOff>
    </xdr:from>
    <xdr:to>
      <xdr:col>11</xdr:col>
      <xdr:colOff>610149</xdr:colOff>
      <xdr:row>28</xdr:row>
      <xdr:rowOff>105309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276CAD6-7F06-4D02-3E2E-6C3DA2BF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5100" y="1400175"/>
          <a:ext cx="3934374" cy="382958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83B3-9907-476A-B8A1-231948CAF4B8}">
  <dimension ref="A1:D70"/>
  <sheetViews>
    <sheetView tabSelected="1" workbookViewId="0">
      <selection sqref="A1:B1"/>
    </sheetView>
  </sheetViews>
  <sheetFormatPr baseColWidth="10" defaultRowHeight="14.25"/>
  <cols>
    <col min="1" max="1" width="48.875" bestFit="1" customWidth="1"/>
    <col min="2" max="2" width="21.25" bestFit="1" customWidth="1"/>
    <col min="3" max="3" width="12.25" customWidth="1"/>
  </cols>
  <sheetData>
    <row r="1" spans="1:4" ht="15">
      <c r="A1" s="7" t="s">
        <v>112</v>
      </c>
      <c r="B1" s="7"/>
    </row>
    <row r="3" spans="1:4" ht="15">
      <c r="A3" s="5" t="s">
        <v>88</v>
      </c>
    </row>
    <row r="5" spans="1:4">
      <c r="A5" t="s">
        <v>80</v>
      </c>
      <c r="B5" s="8">
        <f>SUM(verkaeufe!G2:G27)</f>
        <v>21955</v>
      </c>
      <c r="C5" t="s">
        <v>113</v>
      </c>
    </row>
    <row r="7" spans="1:4">
      <c r="A7" t="s">
        <v>82</v>
      </c>
      <c r="B7" s="10">
        <f>AVERAGE(verkaeufe!G2:G27)</f>
        <v>844.42307692307691</v>
      </c>
      <c r="C7" t="s">
        <v>114</v>
      </c>
    </row>
    <row r="9" spans="1:4">
      <c r="A9" t="s">
        <v>81</v>
      </c>
      <c r="B9" s="10">
        <f>MIN(verkaeufe!F2:F27)</f>
        <v>25</v>
      </c>
      <c r="C9" s="10">
        <f>MAX(verkaeufe!F2:F27)</f>
        <v>1200</v>
      </c>
      <c r="D9" t="s">
        <v>115</v>
      </c>
    </row>
    <row r="11" spans="1:4">
      <c r="A11" t="s">
        <v>83</v>
      </c>
      <c r="B11" s="3">
        <f>COUNTA(verkaeufe!A2:A27)</f>
        <v>26</v>
      </c>
      <c r="C11" t="s">
        <v>116</v>
      </c>
    </row>
    <row r="13" spans="1:4">
      <c r="A13" t="s">
        <v>84</v>
      </c>
      <c r="B13" s="3">
        <f>COUNTIF(verkaeufe!B:B, "Anna")</f>
        <v>7</v>
      </c>
      <c r="C13" t="s">
        <v>117</v>
      </c>
    </row>
    <row r="15" spans="1:4">
      <c r="A15" t="s">
        <v>85</v>
      </c>
      <c r="B15" s="3">
        <f>SUMIF(verkaeufe!D:D, "Computer", verkaeufe!E:E)</f>
        <v>26</v>
      </c>
      <c r="C15" t="s">
        <v>131</v>
      </c>
    </row>
    <row r="17" spans="1:3">
      <c r="A17" t="s">
        <v>86</v>
      </c>
      <c r="B17" s="8">
        <f>SUMIF(verkaeufe!B:B, "Ben", verkaeufe!G:G)</f>
        <v>5190</v>
      </c>
      <c r="C17" t="s">
        <v>131</v>
      </c>
    </row>
    <row r="19" spans="1:3">
      <c r="A19" t="s">
        <v>87</v>
      </c>
      <c r="B19" s="8">
        <f>SUMIFS(verkaeufe!G:G, verkaeufe!D:D, "Computer", verkaeufe!B:B, "Clara")</f>
        <v>2800</v>
      </c>
      <c r="C19" t="s">
        <v>132</v>
      </c>
    </row>
    <row r="23" spans="1:3" ht="15">
      <c r="A23" s="5" t="s">
        <v>89</v>
      </c>
    </row>
    <row r="25" spans="1:3">
      <c r="A25" t="s">
        <v>90</v>
      </c>
      <c r="B25" s="3" t="str">
        <f>VLOOKUP("David", mitarbeiter!A:C, 3, FALSE)</f>
        <v>david@firma.at</v>
      </c>
    </row>
    <row r="27" spans="1:3">
      <c r="A27" t="s">
        <v>91</v>
      </c>
      <c r="B27" s="3" t="str">
        <f>_xlfn.XLOOKUP("David", mitarbeiter!A:A, mitarbeiter!C:C)</f>
        <v>david@firma.at</v>
      </c>
    </row>
    <row r="29" spans="1:3" ht="28.5">
      <c r="A29" s="6" t="s">
        <v>118</v>
      </c>
      <c r="B29" s="12" t="str">
        <f>HLOOKUP("David", mitarbeiter_transponiert!A9:E12, 3, FALSE)</f>
        <v>david@firma.at</v>
      </c>
    </row>
    <row r="33" spans="1:3" ht="15">
      <c r="A33" s="5" t="s">
        <v>92</v>
      </c>
    </row>
    <row r="35" spans="1:3">
      <c r="A35" t="s">
        <v>93</v>
      </c>
      <c r="B35" t="s">
        <v>97</v>
      </c>
      <c r="C35" t="s">
        <v>130</v>
      </c>
    </row>
    <row r="37" spans="1:3">
      <c r="A37" t="s">
        <v>94</v>
      </c>
      <c r="B37" t="s">
        <v>97</v>
      </c>
      <c r="C37" t="s">
        <v>130</v>
      </c>
    </row>
    <row r="39" spans="1:3">
      <c r="A39" t="s">
        <v>95</v>
      </c>
      <c r="B39" t="s">
        <v>97</v>
      </c>
      <c r="C39" t="s">
        <v>130</v>
      </c>
    </row>
    <row r="41" spans="1:3">
      <c r="A41" t="s">
        <v>96</v>
      </c>
      <c r="B41" t="s">
        <v>97</v>
      </c>
      <c r="C41" t="s">
        <v>130</v>
      </c>
    </row>
    <row r="45" spans="1:3" ht="15">
      <c r="A45" s="5" t="s">
        <v>98</v>
      </c>
    </row>
    <row r="47" spans="1:3">
      <c r="A47" t="s">
        <v>99</v>
      </c>
      <c r="B47" t="s">
        <v>97</v>
      </c>
      <c r="C47" t="s">
        <v>129</v>
      </c>
    </row>
    <row r="49" spans="1:3">
      <c r="A49" t="s">
        <v>100</v>
      </c>
      <c r="B49" t="s">
        <v>101</v>
      </c>
      <c r="C49" t="s">
        <v>129</v>
      </c>
    </row>
    <row r="51" spans="1:3">
      <c r="A51" t="s">
        <v>102</v>
      </c>
      <c r="B51" t="s">
        <v>101</v>
      </c>
      <c r="C51" t="s">
        <v>129</v>
      </c>
    </row>
    <row r="53" spans="1:3">
      <c r="A53" t="s">
        <v>103</v>
      </c>
      <c r="B53" t="s">
        <v>97</v>
      </c>
      <c r="C53" t="s">
        <v>129</v>
      </c>
    </row>
    <row r="55" spans="1:3">
      <c r="A55" t="s">
        <v>104</v>
      </c>
      <c r="B55" t="s">
        <v>105</v>
      </c>
      <c r="C55" t="s">
        <v>129</v>
      </c>
    </row>
    <row r="59" spans="1:3" ht="15">
      <c r="A59" s="5" t="s">
        <v>106</v>
      </c>
    </row>
    <row r="61" spans="1:3">
      <c r="A61" t="s">
        <v>107</v>
      </c>
      <c r="B61" s="13">
        <f ca="1">TODAY()</f>
        <v>46088</v>
      </c>
    </row>
    <row r="63" spans="1:3">
      <c r="A63" t="s">
        <v>108</v>
      </c>
      <c r="B63" s="14">
        <f ca="1">NOW()</f>
        <v>46088.985877662039</v>
      </c>
    </row>
    <row r="65" spans="1:3">
      <c r="A65" t="s">
        <v>109</v>
      </c>
      <c r="B65" t="s">
        <v>97</v>
      </c>
      <c r="C65" t="s">
        <v>130</v>
      </c>
    </row>
    <row r="69" spans="1:3" ht="15">
      <c r="A69" s="5" t="s">
        <v>110</v>
      </c>
    </row>
    <row r="70" spans="1:3">
      <c r="A70" t="s">
        <v>111</v>
      </c>
    </row>
  </sheetData>
  <mergeCells count="1">
    <mergeCell ref="A1:B1"/>
  </mergeCells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AFFD-180B-4788-9569-193A349DA4B9}">
  <dimension ref="A1:N27"/>
  <sheetViews>
    <sheetView workbookViewId="0">
      <pane ySplit="1" topLeftCell="A2" activePane="bottomLeft" state="frozen"/>
      <selection pane="bottomLeft"/>
    </sheetView>
  </sheetViews>
  <sheetFormatPr baseColWidth="10" defaultRowHeight="14.25"/>
  <cols>
    <col min="1" max="1" width="9.875" bestFit="1" customWidth="1"/>
    <col min="2" max="2" width="11.125" bestFit="1" customWidth="1"/>
    <col min="3" max="3" width="15.125" bestFit="1" customWidth="1"/>
    <col min="4" max="4" width="9.625" bestFit="1" customWidth="1"/>
    <col min="5" max="5" width="5.875" bestFit="1" customWidth="1"/>
    <col min="6" max="6" width="11" bestFit="1" customWidth="1"/>
    <col min="7" max="7" width="10.625" bestFit="1" customWidth="1"/>
    <col min="8" max="8" width="12.75" bestFit="1" customWidth="1"/>
    <col min="9" max="9" width="19.625" bestFit="1" customWidth="1"/>
    <col min="10" max="10" width="14.625" bestFit="1" customWidth="1"/>
    <col min="11" max="11" width="16.25" bestFit="1" customWidth="1"/>
    <col min="12" max="12" width="8.875" customWidth="1"/>
    <col min="13" max="13" width="22" customWidth="1"/>
    <col min="14" max="14" width="16.5" bestFit="1" customWidth="1"/>
  </cols>
  <sheetData>
    <row r="1" spans="1:14" ht="15">
      <c r="A1" s="4" t="s">
        <v>0</v>
      </c>
      <c r="B1" s="4" t="s">
        <v>79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52</v>
      </c>
      <c r="I1" s="4" t="s">
        <v>6</v>
      </c>
      <c r="J1" s="4" t="s">
        <v>124</v>
      </c>
      <c r="K1" s="4" t="s">
        <v>125</v>
      </c>
      <c r="L1" s="4" t="s">
        <v>126</v>
      </c>
      <c r="M1" s="4" t="s">
        <v>127</v>
      </c>
      <c r="N1" s="4" t="s">
        <v>128</v>
      </c>
    </row>
    <row r="2" spans="1:14">
      <c r="A2" s="2">
        <v>46025</v>
      </c>
      <c r="B2" s="1" t="s">
        <v>7</v>
      </c>
      <c r="C2" s="1" t="s">
        <v>8</v>
      </c>
      <c r="D2" s="1" t="s">
        <v>9</v>
      </c>
      <c r="E2" s="1">
        <v>2</v>
      </c>
      <c r="F2" s="9">
        <v>1200</v>
      </c>
      <c r="G2" s="9">
        <v>2400</v>
      </c>
      <c r="H2" s="1" t="s">
        <v>53</v>
      </c>
      <c r="I2" s="1" t="s">
        <v>10</v>
      </c>
      <c r="J2" s="1" t="str">
        <f>IF(G2&gt;=1000, "ja", "nein")</f>
        <v>ja</v>
      </c>
      <c r="K2" s="1" t="str">
        <f>IF(AND(B2="Anna", D2="Computer"), "ja", "nein")</f>
        <v>ja</v>
      </c>
      <c r="L2" s="1" t="str">
        <f>IF(OR(D2="Computer", D2="Zubehör"), "ja", "nein")</f>
        <v>ja</v>
      </c>
      <c r="M2" s="1" t="str">
        <f>_xlfn.XLOOKUP(B2, mitarbeiter!A:A, mitarbeiter!C:C, "Keine Adresse gefunden")</f>
        <v>anna@firma.at</v>
      </c>
      <c r="N2" s="15">
        <f ca="1">TODAY() - A2</f>
        <v>63</v>
      </c>
    </row>
    <row r="3" spans="1:14">
      <c r="A3" s="2">
        <v>46026</v>
      </c>
      <c r="B3" s="1" t="s">
        <v>11</v>
      </c>
      <c r="C3" s="1" t="s">
        <v>12</v>
      </c>
      <c r="D3" s="1" t="s">
        <v>13</v>
      </c>
      <c r="E3" s="1">
        <v>5</v>
      </c>
      <c r="F3" s="9">
        <v>150</v>
      </c>
      <c r="G3" s="9">
        <v>750</v>
      </c>
      <c r="H3" s="1" t="s">
        <v>54</v>
      </c>
      <c r="I3" s="1" t="s">
        <v>14</v>
      </c>
      <c r="J3" s="1" t="str">
        <f t="shared" ref="J3:J27" si="0">IF(G3&gt;=1000, "ja", "nein")</f>
        <v>nein</v>
      </c>
      <c r="K3" s="1" t="str">
        <f t="shared" ref="K3:K27" si="1">IF(AND(B3="Anna", D3="Computer"), "ja", "nein")</f>
        <v>nein</v>
      </c>
      <c r="L3" s="1" t="str">
        <f t="shared" ref="L3:L27" si="2">IF(OR(D3="Computer", D3="Zubehör"), "ja", "nein")</f>
        <v>nein</v>
      </c>
      <c r="M3" s="1" t="str">
        <f>_xlfn.XLOOKUP(B3, mitarbeiter!A:A, mitarbeiter!C:C, "Keine Adresse gefunden")</f>
        <v>ben@firma.at</v>
      </c>
      <c r="N3" s="15">
        <f t="shared" ref="N3:N27" ca="1" si="3">TODAY() - A3</f>
        <v>62</v>
      </c>
    </row>
    <row r="4" spans="1:14">
      <c r="A4" s="2">
        <v>46026</v>
      </c>
      <c r="B4" s="1" t="s">
        <v>15</v>
      </c>
      <c r="C4" s="1" t="s">
        <v>16</v>
      </c>
      <c r="D4" s="1" t="s">
        <v>9</v>
      </c>
      <c r="E4" s="1">
        <v>3</v>
      </c>
      <c r="F4" s="9">
        <v>320</v>
      </c>
      <c r="G4" s="9">
        <v>960</v>
      </c>
      <c r="H4" s="1" t="s">
        <v>55</v>
      </c>
      <c r="I4" s="1" t="s">
        <v>17</v>
      </c>
      <c r="J4" s="1" t="str">
        <f t="shared" si="0"/>
        <v>nein</v>
      </c>
      <c r="K4" s="1" t="str">
        <f t="shared" si="1"/>
        <v>nein</v>
      </c>
      <c r="L4" s="1" t="str">
        <f t="shared" si="2"/>
        <v>ja</v>
      </c>
      <c r="M4" s="1" t="str">
        <f>_xlfn.XLOOKUP(B4, mitarbeiter!A:A, mitarbeiter!C:C, "Keine Adresse gefunden")</f>
        <v>clara@firma.at</v>
      </c>
      <c r="N4" s="15">
        <f t="shared" ca="1" si="3"/>
        <v>62</v>
      </c>
    </row>
    <row r="5" spans="1:14">
      <c r="A5" s="2">
        <v>46027</v>
      </c>
      <c r="B5" s="1" t="s">
        <v>7</v>
      </c>
      <c r="C5" s="1" t="s">
        <v>18</v>
      </c>
      <c r="D5" s="1" t="s">
        <v>9</v>
      </c>
      <c r="E5" s="1">
        <v>1</v>
      </c>
      <c r="F5" s="9">
        <v>950</v>
      </c>
      <c r="G5" s="9">
        <v>950</v>
      </c>
      <c r="H5" s="1" t="s">
        <v>56</v>
      </c>
      <c r="I5" s="1" t="s">
        <v>19</v>
      </c>
      <c r="J5" s="1" t="str">
        <f t="shared" si="0"/>
        <v>nein</v>
      </c>
      <c r="K5" s="1" t="str">
        <f t="shared" si="1"/>
        <v>ja</v>
      </c>
      <c r="L5" s="1" t="str">
        <f t="shared" si="2"/>
        <v>ja</v>
      </c>
      <c r="M5" s="1" t="str">
        <f>_xlfn.XLOOKUP(B5, mitarbeiter!A:A, mitarbeiter!C:C, "Keine Adresse gefunden")</f>
        <v>anna@firma.at</v>
      </c>
      <c r="N5" s="15">
        <f t="shared" ca="1" si="3"/>
        <v>61</v>
      </c>
    </row>
    <row r="6" spans="1:14">
      <c r="A6" s="2">
        <v>46028</v>
      </c>
      <c r="B6" s="1" t="s">
        <v>20</v>
      </c>
      <c r="C6" s="1" t="s">
        <v>21</v>
      </c>
      <c r="D6" s="1" t="s">
        <v>13</v>
      </c>
      <c r="E6" s="1">
        <v>2</v>
      </c>
      <c r="F6" s="9">
        <v>400</v>
      </c>
      <c r="G6" s="9">
        <v>800</v>
      </c>
      <c r="H6" s="1" t="s">
        <v>57</v>
      </c>
      <c r="I6" s="1" t="s">
        <v>22</v>
      </c>
      <c r="J6" s="1" t="str">
        <f t="shared" si="0"/>
        <v>nein</v>
      </c>
      <c r="K6" s="1" t="str">
        <f t="shared" si="1"/>
        <v>nein</v>
      </c>
      <c r="L6" s="1" t="str">
        <f t="shared" si="2"/>
        <v>nein</v>
      </c>
      <c r="M6" s="1" t="str">
        <f>_xlfn.XLOOKUP(B6, mitarbeiter!A:A, mitarbeiter!C:C, "Keine Adresse gefunden")</f>
        <v>david@firma.at</v>
      </c>
      <c r="N6" s="15">
        <f t="shared" ca="1" si="3"/>
        <v>60</v>
      </c>
    </row>
    <row r="7" spans="1:14">
      <c r="A7" s="2">
        <v>46028</v>
      </c>
      <c r="B7" s="1" t="s">
        <v>11</v>
      </c>
      <c r="C7" s="1" t="s">
        <v>23</v>
      </c>
      <c r="D7" s="1" t="s">
        <v>24</v>
      </c>
      <c r="E7" s="1">
        <v>10</v>
      </c>
      <c r="F7" s="9">
        <v>25</v>
      </c>
      <c r="G7" s="9">
        <v>250</v>
      </c>
      <c r="H7" s="1" t="s">
        <v>58</v>
      </c>
      <c r="I7" s="1" t="s">
        <v>25</v>
      </c>
      <c r="J7" s="1" t="str">
        <f t="shared" si="0"/>
        <v>nein</v>
      </c>
      <c r="K7" s="1" t="str">
        <f t="shared" si="1"/>
        <v>nein</v>
      </c>
      <c r="L7" s="1" t="str">
        <f t="shared" si="2"/>
        <v>ja</v>
      </c>
      <c r="M7" s="1" t="str">
        <f>_xlfn.XLOOKUP(B7, mitarbeiter!A:A, mitarbeiter!C:C, "Keine Adresse gefunden")</f>
        <v>ben@firma.at</v>
      </c>
      <c r="N7" s="15">
        <f t="shared" ca="1" si="3"/>
        <v>60</v>
      </c>
    </row>
    <row r="8" spans="1:14">
      <c r="A8" s="2">
        <v>46029</v>
      </c>
      <c r="B8" s="1" t="s">
        <v>15</v>
      </c>
      <c r="C8" s="1" t="s">
        <v>26</v>
      </c>
      <c r="D8" s="1" t="s">
        <v>24</v>
      </c>
      <c r="E8" s="1">
        <v>4</v>
      </c>
      <c r="F8" s="9">
        <v>80</v>
      </c>
      <c r="G8" s="9">
        <v>320</v>
      </c>
      <c r="H8" s="1" t="s">
        <v>59</v>
      </c>
      <c r="I8" s="1" t="s">
        <v>27</v>
      </c>
      <c r="J8" s="1" t="str">
        <f t="shared" si="0"/>
        <v>nein</v>
      </c>
      <c r="K8" s="1" t="str">
        <f t="shared" si="1"/>
        <v>nein</v>
      </c>
      <c r="L8" s="1" t="str">
        <f t="shared" si="2"/>
        <v>ja</v>
      </c>
      <c r="M8" s="1" t="str">
        <f>_xlfn.XLOOKUP(B8, mitarbeiter!A:A, mitarbeiter!C:C, "Keine Adresse gefunden")</f>
        <v>clara@firma.at</v>
      </c>
      <c r="N8" s="15">
        <f t="shared" ca="1" si="3"/>
        <v>59</v>
      </c>
    </row>
    <row r="9" spans="1:14">
      <c r="A9" s="2">
        <v>46029</v>
      </c>
      <c r="B9" s="1" t="s">
        <v>7</v>
      </c>
      <c r="C9" s="1" t="s">
        <v>28</v>
      </c>
      <c r="D9" s="1" t="s">
        <v>24</v>
      </c>
      <c r="E9" s="1">
        <v>3</v>
      </c>
      <c r="F9" s="9">
        <v>140</v>
      </c>
      <c r="G9" s="9">
        <v>420</v>
      </c>
      <c r="H9" s="1" t="s">
        <v>60</v>
      </c>
      <c r="I9" s="1" t="s">
        <v>29</v>
      </c>
      <c r="J9" s="1" t="str">
        <f t="shared" si="0"/>
        <v>nein</v>
      </c>
      <c r="K9" s="1" t="str">
        <f t="shared" si="1"/>
        <v>nein</v>
      </c>
      <c r="L9" s="1" t="str">
        <f t="shared" si="2"/>
        <v>ja</v>
      </c>
      <c r="M9" s="1" t="str">
        <f>_xlfn.XLOOKUP(B9, mitarbeiter!A:A, mitarbeiter!C:C, "Keine Adresse gefunden")</f>
        <v>anna@firma.at</v>
      </c>
      <c r="N9" s="15">
        <f t="shared" ca="1" si="3"/>
        <v>59</v>
      </c>
    </row>
    <row r="10" spans="1:14">
      <c r="A10" s="2">
        <v>46030</v>
      </c>
      <c r="B10" s="1" t="s">
        <v>20</v>
      </c>
      <c r="C10" s="1" t="s">
        <v>8</v>
      </c>
      <c r="D10" s="1" t="s">
        <v>9</v>
      </c>
      <c r="E10" s="1">
        <v>1</v>
      </c>
      <c r="F10" s="9">
        <v>1200</v>
      </c>
      <c r="G10" s="9">
        <v>1200</v>
      </c>
      <c r="H10" s="1" t="s">
        <v>61</v>
      </c>
      <c r="I10" s="1" t="s">
        <v>30</v>
      </c>
      <c r="J10" s="1" t="str">
        <f t="shared" si="0"/>
        <v>ja</v>
      </c>
      <c r="K10" s="1" t="str">
        <f t="shared" si="1"/>
        <v>nein</v>
      </c>
      <c r="L10" s="1" t="str">
        <f t="shared" si="2"/>
        <v>ja</v>
      </c>
      <c r="M10" s="1" t="str">
        <f>_xlfn.XLOOKUP(B10, mitarbeiter!A:A, mitarbeiter!C:C, "Keine Adresse gefunden")</f>
        <v>david@firma.at</v>
      </c>
      <c r="N10" s="15">
        <f t="shared" ca="1" si="3"/>
        <v>58</v>
      </c>
    </row>
    <row r="11" spans="1:14">
      <c r="A11" s="2">
        <v>46030</v>
      </c>
      <c r="B11" s="1" t="s">
        <v>11</v>
      </c>
      <c r="C11" s="1" t="s">
        <v>31</v>
      </c>
      <c r="D11" s="1" t="s">
        <v>9</v>
      </c>
      <c r="E11" s="1">
        <v>6</v>
      </c>
      <c r="F11" s="9">
        <v>180</v>
      </c>
      <c r="G11" s="9">
        <v>1080</v>
      </c>
      <c r="H11" s="1" t="s">
        <v>62</v>
      </c>
      <c r="I11" s="1" t="s">
        <v>32</v>
      </c>
      <c r="J11" s="1" t="str">
        <f t="shared" si="0"/>
        <v>ja</v>
      </c>
      <c r="K11" s="1" t="str">
        <f t="shared" si="1"/>
        <v>nein</v>
      </c>
      <c r="L11" s="1" t="str">
        <f t="shared" si="2"/>
        <v>ja</v>
      </c>
      <c r="M11" s="1" t="str">
        <f>_xlfn.XLOOKUP(B11, mitarbeiter!A:A, mitarbeiter!C:C, "Keine Adresse gefunden")</f>
        <v>ben@firma.at</v>
      </c>
      <c r="N11" s="15">
        <f t="shared" ca="1" si="3"/>
        <v>58</v>
      </c>
    </row>
    <row r="12" spans="1:14">
      <c r="A12" s="2">
        <v>46031</v>
      </c>
      <c r="B12" s="1" t="s">
        <v>15</v>
      </c>
      <c r="C12" s="1" t="s">
        <v>12</v>
      </c>
      <c r="D12" s="1" t="s">
        <v>13</v>
      </c>
      <c r="E12" s="1">
        <v>2</v>
      </c>
      <c r="F12" s="9">
        <v>150</v>
      </c>
      <c r="G12" s="9">
        <v>300</v>
      </c>
      <c r="H12" s="1" t="s">
        <v>63</v>
      </c>
      <c r="I12" s="1" t="s">
        <v>33</v>
      </c>
      <c r="J12" s="1" t="str">
        <f t="shared" si="0"/>
        <v>nein</v>
      </c>
      <c r="K12" s="1" t="str">
        <f t="shared" si="1"/>
        <v>nein</v>
      </c>
      <c r="L12" s="1" t="str">
        <f t="shared" si="2"/>
        <v>nein</v>
      </c>
      <c r="M12" s="1" t="str">
        <f>_xlfn.XLOOKUP(B12, mitarbeiter!A:A, mitarbeiter!C:C, "Keine Adresse gefunden")</f>
        <v>clara@firma.at</v>
      </c>
      <c r="N12" s="15">
        <f t="shared" ca="1" si="3"/>
        <v>57</v>
      </c>
    </row>
    <row r="13" spans="1:14">
      <c r="A13" s="2">
        <v>46031</v>
      </c>
      <c r="B13" s="1" t="s">
        <v>7</v>
      </c>
      <c r="C13" s="1" t="s">
        <v>23</v>
      </c>
      <c r="D13" s="1" t="s">
        <v>24</v>
      </c>
      <c r="E13" s="1">
        <v>15</v>
      </c>
      <c r="F13" s="9">
        <v>25</v>
      </c>
      <c r="G13" s="9">
        <v>375</v>
      </c>
      <c r="H13" s="1" t="s">
        <v>64</v>
      </c>
      <c r="I13" s="1" t="s">
        <v>34</v>
      </c>
      <c r="J13" s="1" t="str">
        <f t="shared" si="0"/>
        <v>nein</v>
      </c>
      <c r="K13" s="1" t="str">
        <f t="shared" si="1"/>
        <v>nein</v>
      </c>
      <c r="L13" s="1" t="str">
        <f t="shared" si="2"/>
        <v>ja</v>
      </c>
      <c r="M13" s="1" t="str">
        <f>_xlfn.XLOOKUP(B13, mitarbeiter!A:A, mitarbeiter!C:C, "Keine Adresse gefunden")</f>
        <v>anna@firma.at</v>
      </c>
      <c r="N13" s="15">
        <f t="shared" ca="1" si="3"/>
        <v>57</v>
      </c>
    </row>
    <row r="14" spans="1:14">
      <c r="A14" s="2">
        <v>46032</v>
      </c>
      <c r="B14" s="1" t="s">
        <v>20</v>
      </c>
      <c r="C14" s="1" t="s">
        <v>18</v>
      </c>
      <c r="D14" s="1" t="s">
        <v>9</v>
      </c>
      <c r="E14" s="1">
        <v>2</v>
      </c>
      <c r="F14" s="9">
        <v>950</v>
      </c>
      <c r="G14" s="9">
        <v>1900</v>
      </c>
      <c r="H14" s="1" t="s">
        <v>65</v>
      </c>
      <c r="I14" s="1" t="s">
        <v>19</v>
      </c>
      <c r="J14" s="1" t="str">
        <f t="shared" si="0"/>
        <v>ja</v>
      </c>
      <c r="K14" s="1" t="str">
        <f t="shared" si="1"/>
        <v>nein</v>
      </c>
      <c r="L14" s="1" t="str">
        <f t="shared" si="2"/>
        <v>ja</v>
      </c>
      <c r="M14" s="1" t="str">
        <f>_xlfn.XLOOKUP(B14, mitarbeiter!A:A, mitarbeiter!C:C, "Keine Adresse gefunden")</f>
        <v>david@firma.at</v>
      </c>
      <c r="N14" s="15">
        <f t="shared" ca="1" si="3"/>
        <v>56</v>
      </c>
    </row>
    <row r="15" spans="1:14">
      <c r="A15" s="2">
        <v>46032</v>
      </c>
      <c r="B15" s="1" t="s">
        <v>11</v>
      </c>
      <c r="C15" s="1" t="s">
        <v>21</v>
      </c>
      <c r="D15" s="1" t="s">
        <v>13</v>
      </c>
      <c r="E15" s="1">
        <v>1</v>
      </c>
      <c r="F15" s="9">
        <v>400</v>
      </c>
      <c r="G15" s="9">
        <v>400</v>
      </c>
      <c r="H15" s="1" t="s">
        <v>66</v>
      </c>
      <c r="I15" s="1" t="s">
        <v>22</v>
      </c>
      <c r="J15" s="1" t="str">
        <f t="shared" si="0"/>
        <v>nein</v>
      </c>
      <c r="K15" s="1" t="str">
        <f t="shared" si="1"/>
        <v>nein</v>
      </c>
      <c r="L15" s="1" t="str">
        <f t="shared" si="2"/>
        <v>nein</v>
      </c>
      <c r="M15" s="1" t="str">
        <f>_xlfn.XLOOKUP(B15, mitarbeiter!A:A, mitarbeiter!C:C, "Keine Adresse gefunden")</f>
        <v>ben@firma.at</v>
      </c>
      <c r="N15" s="15">
        <f t="shared" ca="1" si="3"/>
        <v>56</v>
      </c>
    </row>
    <row r="16" spans="1:14">
      <c r="A16" s="2">
        <v>46033</v>
      </c>
      <c r="B16" s="1" t="s">
        <v>15</v>
      </c>
      <c r="C16" s="1" t="s">
        <v>16</v>
      </c>
      <c r="D16" s="1" t="s">
        <v>9</v>
      </c>
      <c r="E16" s="1">
        <v>2</v>
      </c>
      <c r="F16" s="9">
        <v>320</v>
      </c>
      <c r="G16" s="9">
        <v>640</v>
      </c>
      <c r="H16" s="1" t="s">
        <v>67</v>
      </c>
      <c r="I16" s="1" t="s">
        <v>35</v>
      </c>
      <c r="J16" s="1" t="str">
        <f t="shared" si="0"/>
        <v>nein</v>
      </c>
      <c r="K16" s="1" t="str">
        <f t="shared" si="1"/>
        <v>nein</v>
      </c>
      <c r="L16" s="1" t="str">
        <f t="shared" si="2"/>
        <v>ja</v>
      </c>
      <c r="M16" s="1" t="str">
        <f>_xlfn.XLOOKUP(B16, mitarbeiter!A:A, mitarbeiter!C:C, "Keine Adresse gefunden")</f>
        <v>clara@firma.at</v>
      </c>
      <c r="N16" s="15">
        <f t="shared" ca="1" si="3"/>
        <v>55</v>
      </c>
    </row>
    <row r="17" spans="1:14">
      <c r="A17" s="2">
        <v>46033</v>
      </c>
      <c r="B17" s="1" t="s">
        <v>7</v>
      </c>
      <c r="C17" s="1" t="s">
        <v>12</v>
      </c>
      <c r="D17" s="1" t="s">
        <v>13</v>
      </c>
      <c r="E17" s="1">
        <v>4</v>
      </c>
      <c r="F17" s="9">
        <v>150</v>
      </c>
      <c r="G17" s="9">
        <v>600</v>
      </c>
      <c r="H17" s="1" t="s">
        <v>68</v>
      </c>
      <c r="I17" s="1" t="s">
        <v>14</v>
      </c>
      <c r="J17" s="1" t="str">
        <f t="shared" si="0"/>
        <v>nein</v>
      </c>
      <c r="K17" s="1" t="str">
        <f t="shared" si="1"/>
        <v>nein</v>
      </c>
      <c r="L17" s="1" t="str">
        <f t="shared" si="2"/>
        <v>nein</v>
      </c>
      <c r="M17" s="1" t="str">
        <f>_xlfn.XLOOKUP(B17, mitarbeiter!A:A, mitarbeiter!C:C, "Keine Adresse gefunden")</f>
        <v>anna@firma.at</v>
      </c>
      <c r="N17" s="15">
        <f t="shared" ca="1" si="3"/>
        <v>55</v>
      </c>
    </row>
    <row r="18" spans="1:14">
      <c r="A18" s="2">
        <v>46034</v>
      </c>
      <c r="B18" s="1" t="s">
        <v>20</v>
      </c>
      <c r="C18" s="1" t="s">
        <v>28</v>
      </c>
      <c r="D18" s="1" t="s">
        <v>24</v>
      </c>
      <c r="E18" s="1">
        <v>5</v>
      </c>
      <c r="F18" s="9">
        <v>140</v>
      </c>
      <c r="G18" s="9">
        <v>700</v>
      </c>
      <c r="H18" s="1" t="s">
        <v>69</v>
      </c>
      <c r="I18" s="1" t="s">
        <v>10</v>
      </c>
      <c r="J18" s="1" t="str">
        <f t="shared" si="0"/>
        <v>nein</v>
      </c>
      <c r="K18" s="1" t="str">
        <f t="shared" si="1"/>
        <v>nein</v>
      </c>
      <c r="L18" s="1" t="str">
        <f t="shared" si="2"/>
        <v>ja</v>
      </c>
      <c r="M18" s="1" t="str">
        <f>_xlfn.XLOOKUP(B18, mitarbeiter!A:A, mitarbeiter!C:C, "Keine Adresse gefunden")</f>
        <v>david@firma.at</v>
      </c>
      <c r="N18" s="15">
        <f t="shared" ca="1" si="3"/>
        <v>54</v>
      </c>
    </row>
    <row r="19" spans="1:14">
      <c r="A19" s="2">
        <v>46034</v>
      </c>
      <c r="B19" s="1" t="s">
        <v>11</v>
      </c>
      <c r="C19" s="1" t="s">
        <v>26</v>
      </c>
      <c r="D19" s="1" t="s">
        <v>24</v>
      </c>
      <c r="E19" s="1">
        <v>7</v>
      </c>
      <c r="F19" s="9">
        <v>80</v>
      </c>
      <c r="G19" s="9">
        <v>560</v>
      </c>
      <c r="H19" s="1" t="s">
        <v>70</v>
      </c>
      <c r="I19" s="1" t="s">
        <v>29</v>
      </c>
      <c r="J19" s="1" t="str">
        <f t="shared" si="0"/>
        <v>nein</v>
      </c>
      <c r="K19" s="1" t="str">
        <f t="shared" si="1"/>
        <v>nein</v>
      </c>
      <c r="L19" s="1" t="str">
        <f t="shared" si="2"/>
        <v>ja</v>
      </c>
      <c r="M19" s="1" t="str">
        <f>_xlfn.XLOOKUP(B19, mitarbeiter!A:A, mitarbeiter!C:C, "Keine Adresse gefunden")</f>
        <v>ben@firma.at</v>
      </c>
      <c r="N19" s="15">
        <f t="shared" ca="1" si="3"/>
        <v>54</v>
      </c>
    </row>
    <row r="20" spans="1:14">
      <c r="A20" s="2">
        <v>46035</v>
      </c>
      <c r="B20" s="1" t="s">
        <v>15</v>
      </c>
      <c r="C20" s="1" t="s">
        <v>8</v>
      </c>
      <c r="D20" s="1" t="s">
        <v>9</v>
      </c>
      <c r="E20" s="1">
        <v>1</v>
      </c>
      <c r="F20" s="9">
        <v>1200</v>
      </c>
      <c r="G20" s="9">
        <v>1200</v>
      </c>
      <c r="H20" s="1" t="s">
        <v>71</v>
      </c>
      <c r="I20" s="1" t="s">
        <v>19</v>
      </c>
      <c r="J20" s="1" t="str">
        <f t="shared" si="0"/>
        <v>ja</v>
      </c>
      <c r="K20" s="1" t="str">
        <f t="shared" si="1"/>
        <v>nein</v>
      </c>
      <c r="L20" s="1" t="str">
        <f t="shared" si="2"/>
        <v>ja</v>
      </c>
      <c r="M20" s="1" t="str">
        <f>_xlfn.XLOOKUP(B20, mitarbeiter!A:A, mitarbeiter!C:C, "Keine Adresse gefunden")</f>
        <v>clara@firma.at</v>
      </c>
      <c r="N20" s="15">
        <f t="shared" ca="1" si="3"/>
        <v>53</v>
      </c>
    </row>
    <row r="21" spans="1:14">
      <c r="A21" s="2">
        <v>46035</v>
      </c>
      <c r="B21" s="1" t="s">
        <v>7</v>
      </c>
      <c r="C21" s="1" t="s">
        <v>31</v>
      </c>
      <c r="D21" s="1" t="s">
        <v>9</v>
      </c>
      <c r="E21" s="1">
        <v>3</v>
      </c>
      <c r="F21" s="9">
        <v>180</v>
      </c>
      <c r="G21" s="9">
        <v>540</v>
      </c>
      <c r="H21" s="1" t="s">
        <v>72</v>
      </c>
      <c r="I21" s="1" t="s">
        <v>32</v>
      </c>
      <c r="J21" s="1" t="str">
        <f t="shared" si="0"/>
        <v>nein</v>
      </c>
      <c r="K21" s="1" t="str">
        <f t="shared" si="1"/>
        <v>ja</v>
      </c>
      <c r="L21" s="1" t="str">
        <f t="shared" si="2"/>
        <v>ja</v>
      </c>
      <c r="M21" s="1" t="str">
        <f>_xlfn.XLOOKUP(B21, mitarbeiter!A:A, mitarbeiter!C:C, "Keine Adresse gefunden")</f>
        <v>anna@firma.at</v>
      </c>
      <c r="N21" s="15">
        <f t="shared" ca="1" si="3"/>
        <v>53</v>
      </c>
    </row>
    <row r="22" spans="1:14">
      <c r="A22" s="2">
        <v>46036</v>
      </c>
      <c r="B22" s="1" t="s">
        <v>20</v>
      </c>
      <c r="C22" s="1" t="s">
        <v>23</v>
      </c>
      <c r="D22" s="1" t="s">
        <v>24</v>
      </c>
      <c r="E22" s="1">
        <v>20</v>
      </c>
      <c r="F22" s="9">
        <v>25</v>
      </c>
      <c r="G22" s="9">
        <v>500</v>
      </c>
      <c r="H22" s="1" t="s">
        <v>73</v>
      </c>
      <c r="I22" s="1" t="s">
        <v>36</v>
      </c>
      <c r="J22" s="1" t="str">
        <f t="shared" si="0"/>
        <v>nein</v>
      </c>
      <c r="K22" s="1" t="str">
        <f t="shared" si="1"/>
        <v>nein</v>
      </c>
      <c r="L22" s="1" t="str">
        <f t="shared" si="2"/>
        <v>ja</v>
      </c>
      <c r="M22" s="1" t="str">
        <f>_xlfn.XLOOKUP(B22, mitarbeiter!A:A, mitarbeiter!C:C, "Keine Adresse gefunden")</f>
        <v>david@firma.at</v>
      </c>
      <c r="N22" s="15">
        <f t="shared" ca="1" si="3"/>
        <v>52</v>
      </c>
    </row>
    <row r="23" spans="1:14">
      <c r="A23" s="2">
        <v>46036</v>
      </c>
      <c r="B23" s="1" t="s">
        <v>11</v>
      </c>
      <c r="C23" s="1" t="s">
        <v>18</v>
      </c>
      <c r="D23" s="1" t="s">
        <v>9</v>
      </c>
      <c r="E23" s="1">
        <v>1</v>
      </c>
      <c r="F23" s="9">
        <v>950</v>
      </c>
      <c r="G23" s="9">
        <v>950</v>
      </c>
      <c r="H23" s="1" t="s">
        <v>74</v>
      </c>
      <c r="I23" s="1" t="s">
        <v>37</v>
      </c>
      <c r="J23" s="1" t="str">
        <f t="shared" si="0"/>
        <v>nein</v>
      </c>
      <c r="K23" s="1" t="str">
        <f t="shared" si="1"/>
        <v>nein</v>
      </c>
      <c r="L23" s="1" t="str">
        <f t="shared" si="2"/>
        <v>ja</v>
      </c>
      <c r="M23" s="1" t="str">
        <f>_xlfn.XLOOKUP(B23, mitarbeiter!A:A, mitarbeiter!C:C, "Keine Adresse gefunden")</f>
        <v>ben@firma.at</v>
      </c>
      <c r="N23" s="15">
        <f t="shared" ca="1" si="3"/>
        <v>52</v>
      </c>
    </row>
    <row r="24" spans="1:14">
      <c r="A24" s="2">
        <v>46037</v>
      </c>
      <c r="B24" s="1" t="s">
        <v>15</v>
      </c>
      <c r="C24" s="1" t="s">
        <v>21</v>
      </c>
      <c r="D24" s="1" t="s">
        <v>13</v>
      </c>
      <c r="E24" s="1">
        <v>3</v>
      </c>
      <c r="F24" s="9">
        <v>400</v>
      </c>
      <c r="G24" s="9">
        <v>1200</v>
      </c>
      <c r="H24" s="1" t="s">
        <v>75</v>
      </c>
      <c r="I24" s="1" t="s">
        <v>22</v>
      </c>
      <c r="J24" s="1" t="str">
        <f t="shared" si="0"/>
        <v>ja</v>
      </c>
      <c r="K24" s="1" t="str">
        <f t="shared" si="1"/>
        <v>nein</v>
      </c>
      <c r="L24" s="1" t="str">
        <f t="shared" si="2"/>
        <v>nein</v>
      </c>
      <c r="M24" s="1" t="str">
        <f>_xlfn.XLOOKUP(B24, mitarbeiter!A:A, mitarbeiter!C:C, "Keine Adresse gefunden")</f>
        <v>clara@firma.at</v>
      </c>
      <c r="N24" s="15">
        <f t="shared" ca="1" si="3"/>
        <v>51</v>
      </c>
    </row>
    <row r="25" spans="1:14">
      <c r="A25" s="2">
        <v>46037</v>
      </c>
      <c r="B25" s="1" t="s">
        <v>7</v>
      </c>
      <c r="C25" s="1" t="s">
        <v>26</v>
      </c>
      <c r="D25" s="1" t="s">
        <v>24</v>
      </c>
      <c r="E25" s="1">
        <v>6</v>
      </c>
      <c r="F25" s="9">
        <v>80</v>
      </c>
      <c r="G25" s="9">
        <v>480</v>
      </c>
      <c r="H25" s="1" t="s">
        <v>76</v>
      </c>
      <c r="I25" s="1" t="s">
        <v>27</v>
      </c>
      <c r="J25" s="1" t="str">
        <f t="shared" si="0"/>
        <v>nein</v>
      </c>
      <c r="K25" s="1" t="str">
        <f t="shared" si="1"/>
        <v>nein</v>
      </c>
      <c r="L25" s="1" t="str">
        <f t="shared" si="2"/>
        <v>ja</v>
      </c>
      <c r="M25" s="1" t="str">
        <f>_xlfn.XLOOKUP(B25, mitarbeiter!A:A, mitarbeiter!C:C, "Keine Adresse gefunden")</f>
        <v>anna@firma.at</v>
      </c>
      <c r="N25" s="15">
        <f t="shared" ca="1" si="3"/>
        <v>51</v>
      </c>
    </row>
    <row r="26" spans="1:14">
      <c r="A26" s="2">
        <v>46038</v>
      </c>
      <c r="B26" s="1" t="s">
        <v>20</v>
      </c>
      <c r="C26" s="1" t="s">
        <v>16</v>
      </c>
      <c r="D26" s="1" t="s">
        <v>9</v>
      </c>
      <c r="E26" s="1">
        <v>4</v>
      </c>
      <c r="F26" s="9">
        <v>320</v>
      </c>
      <c r="G26" s="9">
        <v>1280</v>
      </c>
      <c r="H26" s="1" t="s">
        <v>77</v>
      </c>
      <c r="I26" s="1" t="s">
        <v>19</v>
      </c>
      <c r="J26" s="1" t="str">
        <f t="shared" si="0"/>
        <v>ja</v>
      </c>
      <c r="K26" s="1" t="str">
        <f t="shared" si="1"/>
        <v>nein</v>
      </c>
      <c r="L26" s="1" t="str">
        <f t="shared" si="2"/>
        <v>ja</v>
      </c>
      <c r="M26" s="1" t="str">
        <f>_xlfn.XLOOKUP(B26, mitarbeiter!A:A, mitarbeiter!C:C, "Keine Adresse gefunden")</f>
        <v>david@firma.at</v>
      </c>
      <c r="N26" s="15">
        <f t="shared" ca="1" si="3"/>
        <v>50</v>
      </c>
    </row>
    <row r="27" spans="1:14">
      <c r="A27" s="2">
        <v>46038</v>
      </c>
      <c r="B27" s="1" t="s">
        <v>11</v>
      </c>
      <c r="C27" s="1" t="s">
        <v>12</v>
      </c>
      <c r="D27" s="1" t="s">
        <v>13</v>
      </c>
      <c r="E27" s="1">
        <v>8</v>
      </c>
      <c r="F27" s="9">
        <v>150</v>
      </c>
      <c r="G27" s="9">
        <v>1200</v>
      </c>
      <c r="H27" s="1" t="s">
        <v>78</v>
      </c>
      <c r="I27" s="1" t="s">
        <v>38</v>
      </c>
      <c r="J27" s="1" t="str">
        <f t="shared" si="0"/>
        <v>ja</v>
      </c>
      <c r="K27" s="1" t="str">
        <f t="shared" si="1"/>
        <v>nein</v>
      </c>
      <c r="L27" s="1" t="str">
        <f t="shared" si="2"/>
        <v>nein</v>
      </c>
      <c r="M27" s="1" t="str">
        <f>_xlfn.XLOOKUP(B27, mitarbeiter!A:A, mitarbeiter!C:C, "Keine Adresse gefunden")</f>
        <v>ben@firma.at</v>
      </c>
      <c r="N27" s="15">
        <f t="shared" ca="1" si="3"/>
        <v>50</v>
      </c>
    </row>
  </sheetData>
  <autoFilter ref="A1:N27" xr:uid="{948FAFFD-180B-4788-9569-193A349DA4B9}"/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87B9-BA2D-494C-99A3-12496D891C16}">
  <dimension ref="A1:E5"/>
  <sheetViews>
    <sheetView workbookViewId="0"/>
  </sheetViews>
  <sheetFormatPr baseColWidth="10" defaultRowHeight="14.25"/>
  <cols>
    <col min="3" max="3" width="13.125" bestFit="1" customWidth="1"/>
    <col min="5" max="5" width="91.875" bestFit="1" customWidth="1"/>
  </cols>
  <sheetData>
    <row r="1" spans="1:5" ht="15">
      <c r="A1" s="4" t="s">
        <v>79</v>
      </c>
      <c r="B1" s="4" t="s">
        <v>39</v>
      </c>
      <c r="C1" s="4" t="s">
        <v>40</v>
      </c>
      <c r="D1" s="4" t="s">
        <v>41</v>
      </c>
      <c r="E1" s="4" t="s">
        <v>123</v>
      </c>
    </row>
    <row r="2" spans="1:5">
      <c r="A2" s="1" t="s">
        <v>7</v>
      </c>
      <c r="B2" s="1" t="s">
        <v>42</v>
      </c>
      <c r="C2" s="1" t="s">
        <v>43</v>
      </c>
      <c r="D2" s="1" t="s">
        <v>44</v>
      </c>
      <c r="E2" s="1" t="str" cm="1">
        <f t="array" ref="E2">_xlfn.TEXTJOIN(", ", TRUE, IF(verkaeufe!B:B=mitarbeiter!A2, verkaeufe!H:H, ""))</f>
        <v>RE-2026-0001, RE-2026-0004, RE-2026-0008, RE-2026-0012, RE-2026-0016, RE-2026-0020, RE-2026-0024</v>
      </c>
    </row>
    <row r="3" spans="1:5">
      <c r="A3" s="1" t="s">
        <v>11</v>
      </c>
      <c r="B3" s="1" t="s">
        <v>42</v>
      </c>
      <c r="C3" s="1" t="s">
        <v>45</v>
      </c>
      <c r="D3" s="1" t="s">
        <v>46</v>
      </c>
      <c r="E3" s="1" t="str" cm="1">
        <f t="array" ref="E3">_xlfn.TEXTJOIN(", ", TRUE, IF(verkaeufe!B:B=mitarbeiter!A3, verkaeufe!H:H, ""))</f>
        <v>RE-2026-0002, RE-2026-0006, RE-2026-0010, RE-2026-0014, RE-2026-0018, RE-2026-0022, RE-2026-0026</v>
      </c>
    </row>
    <row r="4" spans="1:5">
      <c r="A4" s="1" t="s">
        <v>15</v>
      </c>
      <c r="B4" s="1" t="s">
        <v>47</v>
      </c>
      <c r="C4" s="1" t="s">
        <v>48</v>
      </c>
      <c r="D4" s="1" t="s">
        <v>49</v>
      </c>
      <c r="E4" s="1" t="str" cm="1">
        <f t="array" ref="E4">_xlfn.TEXTJOIN(", ", TRUE, IF(verkaeufe!B:B=mitarbeiter!A4, verkaeufe!H:H, ""))</f>
        <v>RE-2026-0003, RE-2026-0007, RE-2026-0011, RE-2026-0015, RE-2026-0019, RE-2026-0023</v>
      </c>
    </row>
    <row r="5" spans="1:5">
      <c r="A5" s="1" t="s">
        <v>20</v>
      </c>
      <c r="B5" s="1" t="s">
        <v>42</v>
      </c>
      <c r="C5" s="1" t="s">
        <v>50</v>
      </c>
      <c r="D5" s="1" t="s">
        <v>51</v>
      </c>
      <c r="E5" s="1" t="str" cm="1">
        <f t="array" ref="E5">_xlfn.TEXTJOIN(", ", TRUE, IF(verkaeufe!B:B=mitarbeiter!A5, verkaeufe!H:H, ""))</f>
        <v>RE-2026-0005, RE-2026-0009, RE-2026-0013, RE-2026-0017, RE-2026-0021, RE-2026-0025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3CDD-EF59-4D69-8A18-45FED97D599F}">
  <dimension ref="A1:H12"/>
  <sheetViews>
    <sheetView workbookViewId="0"/>
  </sheetViews>
  <sheetFormatPr baseColWidth="10" defaultRowHeight="14.25"/>
  <cols>
    <col min="1" max="1" width="11.125" bestFit="1" customWidth="1"/>
    <col min="2" max="2" width="12.875" bestFit="1" customWidth="1"/>
    <col min="3" max="3" width="13.125" bestFit="1" customWidth="1"/>
    <col min="4" max="4" width="12.875" bestFit="1" customWidth="1"/>
    <col min="5" max="5" width="13.125" bestFit="1" customWidth="1"/>
  </cols>
  <sheetData>
    <row r="1" spans="1:8" ht="15">
      <c r="A1" s="4" t="s">
        <v>79</v>
      </c>
      <c r="B1" s="4" t="s">
        <v>39</v>
      </c>
      <c r="C1" s="4" t="s">
        <v>40</v>
      </c>
      <c r="D1" s="4" t="s">
        <v>41</v>
      </c>
    </row>
    <row r="2" spans="1:8">
      <c r="A2" s="1" t="s">
        <v>7</v>
      </c>
      <c r="B2" s="1" t="s">
        <v>42</v>
      </c>
      <c r="C2" s="1" t="s">
        <v>43</v>
      </c>
      <c r="D2" s="1" t="s">
        <v>44</v>
      </c>
    </row>
    <row r="3" spans="1:8">
      <c r="A3" s="1" t="s">
        <v>11</v>
      </c>
      <c r="B3" s="1" t="s">
        <v>42</v>
      </c>
      <c r="C3" s="1" t="s">
        <v>45</v>
      </c>
      <c r="D3" s="1" t="s">
        <v>46</v>
      </c>
    </row>
    <row r="4" spans="1:8" ht="15">
      <c r="A4" s="1" t="s">
        <v>15</v>
      </c>
      <c r="B4" s="1" t="s">
        <v>47</v>
      </c>
      <c r="C4" s="1" t="s">
        <v>48</v>
      </c>
      <c r="D4" s="1" t="s">
        <v>49</v>
      </c>
      <c r="H4" s="5" t="s">
        <v>119</v>
      </c>
    </row>
    <row r="5" spans="1:8">
      <c r="A5" s="1" t="s">
        <v>20</v>
      </c>
      <c r="B5" s="1" t="s">
        <v>42</v>
      </c>
      <c r="C5" s="1" t="s">
        <v>50</v>
      </c>
      <c r="D5" s="1" t="s">
        <v>51</v>
      </c>
      <c r="H5" s="11" t="s">
        <v>120</v>
      </c>
    </row>
    <row r="6" spans="1:8">
      <c r="H6" s="11" t="s">
        <v>121</v>
      </c>
    </row>
    <row r="7" spans="1:8">
      <c r="H7" s="11" t="s">
        <v>122</v>
      </c>
    </row>
    <row r="9" spans="1:8" ht="15">
      <c r="A9" s="4" t="s">
        <v>79</v>
      </c>
      <c r="B9" s="1" t="s">
        <v>7</v>
      </c>
      <c r="C9" s="1" t="s">
        <v>11</v>
      </c>
      <c r="D9" s="1" t="s">
        <v>15</v>
      </c>
      <c r="E9" s="1" t="s">
        <v>20</v>
      </c>
    </row>
    <row r="10" spans="1:8" ht="15">
      <c r="A10" s="4" t="s">
        <v>39</v>
      </c>
      <c r="B10" s="1" t="s">
        <v>42</v>
      </c>
      <c r="C10" s="1" t="s">
        <v>42</v>
      </c>
      <c r="D10" s="1" t="s">
        <v>47</v>
      </c>
      <c r="E10" s="1" t="s">
        <v>42</v>
      </c>
    </row>
    <row r="11" spans="1:8" ht="15">
      <c r="A11" s="4" t="s">
        <v>40</v>
      </c>
      <c r="B11" s="1" t="s">
        <v>43</v>
      </c>
      <c r="C11" s="1" t="s">
        <v>45</v>
      </c>
      <c r="D11" s="1" t="s">
        <v>48</v>
      </c>
      <c r="E11" s="1" t="s">
        <v>50</v>
      </c>
    </row>
    <row r="12" spans="1:8" ht="15">
      <c r="A12" s="4" t="s">
        <v>41</v>
      </c>
      <c r="B12" s="1" t="s">
        <v>44</v>
      </c>
      <c r="C12" s="1" t="s">
        <v>46</v>
      </c>
      <c r="D12" s="1" t="s">
        <v>49</v>
      </c>
      <c r="E12" s="1" t="s">
        <v>51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aufgaben</vt:lpstr>
      <vt:lpstr>verkaeufe</vt:lpstr>
      <vt:lpstr>mitarbeiter</vt:lpstr>
      <vt:lpstr>mitarbeiter_transponiert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2026-03-01T09:15:41Z</cp:lastPrinted>
  <dcterms:created xsi:type="dcterms:W3CDTF">2026-03-01T08:16:11Z</dcterms:created>
  <dcterms:modified xsi:type="dcterms:W3CDTF">2026-03-07T22:45:25Z</dcterms:modified>
</cp:coreProperties>
</file>